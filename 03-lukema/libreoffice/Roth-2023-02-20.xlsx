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<sst xmlns="http://schemas.openxmlformats.org/spreadsheetml/2006/main" count="16" uniqueCount="16">
  <si>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Roth</t>
  </si>
  <si>
    <t xml:space="preserve">Y-T-D</t>
  </si>
  <si>
    <t xml:space="preserve">Pay</t>
  </si>
  <si>
    <t xml:space="preserve">Gross</t>
  </si>
  <si>
    <t xml:space="preserve">Net</t>
  </si>
  <si>
    <t xml:space="preserve">Y-T-D (20230220)</t>
  </si>
  <si>
    <t xml:space="preserve">Remain</t>
  </si>
  <si>
    <t xml:space="preserve">401k limit 2023</t>
  </si>
  <si>
    <t xml:space="preserve">Catch-up</t>
  </si>
  <si>
    <t xml:space="preserve">Total</t>
  </si>
  <si>
    <t xml:space="preserve">10 more months</t>
  </si>
  <si>
    <t xml:space="preserve">300 days</t>
  </si>
  <si>
    <t xml:space="preserve">number of pay checks</t>
  </si>
  <si>
    <t xml:space="preserve">300/14 paychecks</t>
  </si>
  <si>
    <t xml:space="preserve">deduction per pay</t>
  </si>
  <si>
    <t xml:space="preserve">percentage of gross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</si>
</sst>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General"/>
    <numFmt numFmtId="167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59"/>
    <col collapsed="false" customWidth="true" hidden="false" outlineLevel="0" max="3" min="3" style="1" width="15.71"/>
    <col collapsed="false" customWidth="true" hidden="false" outlineLevel="0" max="4" min="4" style="1" width="16.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B1" s="1" t="s">
        <v>0</v>
      </c>
      <c r="C1" s="1" t="n">
        <v>1353.97</v>
      </c>
    </row>
    <row r="2" customFormat="false" ht="12.8" hidden="false" customHeight="false" outlineLevel="0" collapsed="false">
      <c r="B2" s="1" t="s">
        <v>1</v>
      </c>
      <c r="C2" s="1" t="n">
        <v>4061.91</v>
      </c>
    </row>
    <row r="5" customFormat="false" ht="12.8" hidden="false" customHeight="false" outlineLevel="0" collapsed="false">
      <c r="B5" s="1" t="s">
        <v>2</v>
      </c>
    </row>
    <row r="6" customFormat="false" ht="12.8" hidden="false" customHeight="false" outlineLevel="0" collapsed="false">
      <c r="B6" s="1" t="s">
        <v>3</v>
      </c>
      <c r="C6" s="1" t="n">
        <v>6187.91</v>
      </c>
    </row>
    <row r="7" customFormat="false" ht="12.8" hidden="false" customHeight="false" outlineLevel="0" collapsed="false">
      <c r="B7" s="1" t="s">
        <v>4</v>
      </c>
      <c r="C7" s="1" t="n">
        <v>2649</v>
      </c>
    </row>
    <row r="10" customFormat="false" ht="12.8" hidden="false" customHeight="false" outlineLevel="0" collapsed="false">
      <c r="D10" s="1" t="s">
        <v>5</v>
      </c>
      <c r="E10" s="1" t="s">
        <v>6</v>
      </c>
    </row>
    <row r="11" customFormat="false" ht="12.8" hidden="false" customHeight="false" outlineLevel="0" collapsed="false">
      <c r="B11" s="1" t="s">
        <v>7</v>
      </c>
      <c r="C11" s="1" t="n">
        <v>22500</v>
      </c>
    </row>
    <row r="12" customFormat="false" ht="12.8" hidden="false" customHeight="false" outlineLevel="0" collapsed="false">
      <c r="B12" s="1" t="s">
        <v>8</v>
      </c>
      <c r="C12" s="1" t="n">
        <v>7500</v>
      </c>
    </row>
    <row r="13" customFormat="false" ht="12.8" hidden="false" customHeight="false" outlineLevel="0" collapsed="false">
      <c r="B13" s="1" t="s">
        <v>9</v>
      </c>
      <c r="C13" s="1" t="n">
        <v>30000</v>
      </c>
      <c r="D13" s="1" t="n">
        <v>4912</v>
      </c>
      <c r="E13" s="1" t="n">
        <f aca="false">C13-D13</f>
        <v>25088</v>
      </c>
    </row>
    <row r="17" customFormat="false" ht="12.8" hidden="false" customHeight="false" outlineLevel="0" collapsed="false">
      <c r="B17" s="1" t="s">
        <v>10</v>
      </c>
    </row>
    <row r="18" customFormat="false" ht="12.8" hidden="false" customHeight="false" outlineLevel="0" collapsed="false">
      <c r="B18" s="1" t="s">
        <v>11</v>
      </c>
    </row>
    <row r="19" customFormat="false" ht="12.8" hidden="false" customHeight="false" outlineLevel="0" collapsed="false">
      <c r="B19" s="1" t="s">
        <v>12</v>
      </c>
      <c r="C19" s="1" t="s">
        <v>13</v>
      </c>
    </row>
    <row r="20" customFormat="false" ht="12.8" hidden="false" customHeight="false" outlineLevel="0" collapsed="false">
      <c r="C20" s="2" t="n">
        <f aca="false">300/14</f>
        <v>21.4285714285714</v>
      </c>
    </row>
    <row r="21" customFormat="false" ht="12.8" hidden="false" customHeight="false" outlineLevel="0" collapsed="false">
      <c r="B21" s="1" t="s">
        <v>14</v>
      </c>
      <c r="C21" s="1" t="n">
        <f aca="false">E13/C20</f>
        <v>1170.77333333333</v>
      </c>
    </row>
    <row r="22" customFormat="false" ht="12.8" hidden="false" customHeight="false" outlineLevel="0" collapsed="false">
      <c r="B22" s="1" t="s">
        <v>15</v>
      </c>
      <c r="C22" s="3" t="n">
        <f aca="false">C21/C6</f>
        <v>0.189203355144683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2023-02-20T11:09:01Z</dcterms:created>
  <dc:creator/>
  <dc:description/>
  <dc:language>en-US</dc:language>
  <cp:lastModifiedBy/>
  <dcterms:modified xsi:type="dcterms:W3CDTF">2023-02-20T11:26:48Z</dcterms:modified>
  <cp:revision>13</cp:revision>
  <dc:subject/>
  <dc:title/>
</cp:coreProperties>
</file>