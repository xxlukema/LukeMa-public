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\03-lukema\LukeMa\03-lukema\stocks-2023-06\"/>
    </mc:Choice>
  </mc:AlternateContent>
  <xr:revisionPtr revIDLastSave="0" documentId="13_ncr:1_{261C574C-1A9D-4206-9E1B-35268F359B0B}" xr6:coauthVersionLast="47" xr6:coauthVersionMax="47" xr10:uidLastSave="{00000000-0000-0000-0000-000000000000}"/>
  <bookViews>
    <workbookView xWindow="26720" yWindow="2340" windowWidth="19200" windowHeight="10980" activeTab="5" xr2:uid="{00000000-000D-0000-FFFF-FFFF00000000}"/>
  </bookViews>
  <sheets>
    <sheet name="2024-12-24" sheetId="5" r:id="rId1"/>
    <sheet name="2024-10-08-New" sheetId="4" r:id="rId2"/>
    <sheet name="2024-04-04-New" sheetId="2" r:id="rId3"/>
    <sheet name="2024-10-08 Big Drop" sheetId="3" r:id="rId4"/>
    <sheet name="2023-2024 Pre-Election" sheetId="1" r:id="rId5"/>
    <sheet name="2025-Bo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6" l="1"/>
  <c r="G13" i="5"/>
  <c r="E11" i="5"/>
  <c r="G11" i="5" s="1"/>
  <c r="E17" i="5"/>
  <c r="G17" i="5" s="1"/>
  <c r="E18" i="5"/>
  <c r="G18" i="5" s="1"/>
  <c r="E10" i="5"/>
  <c r="G10" i="5" s="1"/>
  <c r="E5" i="5"/>
  <c r="G5" i="5" s="1"/>
  <c r="E4" i="5"/>
  <c r="G4" i="5" s="1"/>
  <c r="G8" i="5" s="1"/>
  <c r="E33" i="5"/>
  <c r="E34" i="5"/>
  <c r="E35" i="5"/>
  <c r="E36" i="5"/>
  <c r="E37" i="5"/>
  <c r="E38" i="5"/>
  <c r="E32" i="5"/>
  <c r="J30" i="4"/>
  <c r="J16" i="4"/>
  <c r="J17" i="4"/>
  <c r="J19" i="4"/>
  <c r="G21" i="4"/>
  <c r="J21" i="4" s="1"/>
  <c r="G19" i="4"/>
  <c r="G17" i="4"/>
  <c r="G15" i="4"/>
  <c r="J15" i="4" s="1"/>
  <c r="G13" i="4"/>
  <c r="J13" i="4" s="1"/>
  <c r="G12" i="4"/>
  <c r="J12" i="4" s="1"/>
  <c r="G22" i="4"/>
  <c r="J22" i="4" s="1"/>
  <c r="G20" i="4"/>
  <c r="J20" i="4" s="1"/>
  <c r="G18" i="4"/>
  <c r="J18" i="4" s="1"/>
  <c r="G16" i="4"/>
  <c r="G14" i="4"/>
  <c r="J14" i="4" s="1"/>
  <c r="G11" i="4"/>
  <c r="J11" i="4" s="1"/>
  <c r="K2" i="4"/>
  <c r="E6" i="3"/>
  <c r="E7" i="3"/>
  <c r="E8" i="3"/>
  <c r="E5" i="3"/>
  <c r="G13" i="2"/>
  <c r="J13" i="2" s="1"/>
  <c r="J10" i="2"/>
  <c r="J8" i="2"/>
  <c r="G12" i="2"/>
  <c r="J14" i="2"/>
  <c r="K8" i="2"/>
  <c r="G25" i="2"/>
  <c r="G26" i="2"/>
  <c r="E41" i="5" l="1"/>
  <c r="G19" i="2"/>
  <c r="J19" i="2" s="1"/>
  <c r="G20" i="2"/>
  <c r="J20" i="2" s="1"/>
  <c r="G21" i="2"/>
  <c r="J21" i="2" s="1"/>
  <c r="G22" i="2"/>
  <c r="J22" i="2" s="1"/>
  <c r="G23" i="2"/>
  <c r="J23" i="2" s="1"/>
  <c r="G24" i="2"/>
  <c r="J24" i="2" s="1"/>
  <c r="J25" i="2"/>
  <c r="G18" i="2"/>
  <c r="J18" i="2" s="1"/>
  <c r="C19" i="2"/>
  <c r="C20" i="2"/>
  <c r="C21" i="2"/>
  <c r="C22" i="2"/>
  <c r="C23" i="2"/>
  <c r="C24" i="2"/>
  <c r="C25" i="2"/>
  <c r="C18" i="2"/>
  <c r="C28" i="2"/>
  <c r="G28" i="2"/>
  <c r="C10" i="2"/>
  <c r="F28" i="2"/>
  <c r="F26" i="2"/>
  <c r="J26" i="2" s="1"/>
  <c r="J12" i="2"/>
  <c r="J11" i="2"/>
  <c r="J7" i="2"/>
  <c r="J6" i="2"/>
  <c r="J5" i="2"/>
  <c r="G4" i="2"/>
  <c r="F3" i="2"/>
  <c r="F4" i="2" s="1"/>
  <c r="J2" i="2"/>
  <c r="K86" i="1"/>
  <c r="G95" i="1"/>
  <c r="K78" i="1"/>
  <c r="K89" i="1"/>
  <c r="G90" i="1"/>
  <c r="G52" i="1" s="1"/>
  <c r="T91" i="1"/>
  <c r="K87" i="1"/>
  <c r="H26" i="1"/>
  <c r="H53" i="1" s="1"/>
  <c r="G25" i="1"/>
  <c r="G26" i="1" s="1"/>
  <c r="K88" i="1"/>
  <c r="N22" i="1"/>
  <c r="L52" i="1" s="1"/>
  <c r="K84" i="1"/>
  <c r="K83" i="1"/>
  <c r="K82" i="1"/>
  <c r="K85" i="1"/>
  <c r="K11" i="1"/>
  <c r="L13" i="1" s="1"/>
  <c r="U9" i="1"/>
  <c r="U8" i="1"/>
  <c r="T7" i="1"/>
  <c r="T5" i="1"/>
  <c r="L9" i="1"/>
  <c r="K58" i="1"/>
  <c r="K59" i="1"/>
  <c r="K60" i="1"/>
  <c r="K61" i="1"/>
  <c r="K62" i="1"/>
  <c r="K63" i="1"/>
  <c r="K65" i="1"/>
  <c r="K66" i="1"/>
  <c r="K67" i="1"/>
  <c r="K68" i="1"/>
  <c r="K69" i="1"/>
  <c r="K70" i="1"/>
  <c r="K71" i="1"/>
  <c r="K72" i="1"/>
  <c r="K73" i="1"/>
  <c r="G8" i="1"/>
  <c r="K8" i="1" s="1"/>
  <c r="K10" i="1"/>
  <c r="K12" i="1"/>
  <c r="J13" i="1" s="1"/>
  <c r="K14" i="1"/>
  <c r="K15" i="1"/>
  <c r="K16" i="1"/>
  <c r="K17" i="1"/>
  <c r="K18" i="1"/>
  <c r="K19" i="1"/>
  <c r="K20" i="1"/>
  <c r="K21" i="1"/>
  <c r="K22" i="1"/>
  <c r="K23" i="1"/>
  <c r="K24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77" i="1"/>
  <c r="K79" i="1"/>
  <c r="K80" i="1"/>
  <c r="K81" i="1"/>
  <c r="L50" i="1"/>
  <c r="K50" i="1" s="1"/>
  <c r="L4" i="1"/>
  <c r="K4" i="1" s="1"/>
  <c r="J33" i="2" l="1"/>
  <c r="J31" i="2" s="1"/>
  <c r="J28" i="2"/>
  <c r="J34" i="2" s="1"/>
  <c r="J4" i="2"/>
  <c r="J3" i="2"/>
  <c r="G57" i="1"/>
  <c r="K57" i="1" s="1"/>
  <c r="K101" i="1" s="1"/>
  <c r="G64" i="1"/>
  <c r="K64" i="1" s="1"/>
  <c r="K95" i="1"/>
  <c r="G56" i="1"/>
  <c r="K56" i="1" s="1"/>
  <c r="G54" i="1"/>
  <c r="K54" i="1" s="1"/>
  <c r="G55" i="1"/>
  <c r="K55" i="1" s="1"/>
  <c r="K26" i="1"/>
  <c r="G53" i="1"/>
  <c r="K53" i="1" s="1"/>
  <c r="K25" i="1"/>
  <c r="K13" i="1"/>
  <c r="G51" i="1"/>
  <c r="K51" i="1" s="1"/>
  <c r="G9" i="1"/>
  <c r="K52" i="1" s="1"/>
  <c r="K9" i="1" l="1"/>
</calcChain>
</file>

<file path=xl/sharedStrings.xml><?xml version="1.0" encoding="utf-8"?>
<sst xmlns="http://schemas.openxmlformats.org/spreadsheetml/2006/main" count="375" uniqueCount="127">
  <si>
    <t>Date</t>
  </si>
  <si>
    <t>Shares</t>
  </si>
  <si>
    <t>Stock</t>
  </si>
  <si>
    <t>Amount</t>
  </si>
  <si>
    <t>Margin</t>
  </si>
  <si>
    <t>Deposit</t>
  </si>
  <si>
    <t>Broker</t>
  </si>
  <si>
    <t>Account</t>
  </si>
  <si>
    <t>Schwab</t>
  </si>
  <si>
    <t>Long Term</t>
  </si>
  <si>
    <t>All</t>
  </si>
  <si>
    <t>Saving</t>
  </si>
  <si>
    <t>TT</t>
  </si>
  <si>
    <t>HH</t>
  </si>
  <si>
    <t>Transaction</t>
  </si>
  <si>
    <t>Buy</t>
  </si>
  <si>
    <t>TQQQ</t>
  </si>
  <si>
    <t>Price</t>
  </si>
  <si>
    <t>Sell</t>
  </si>
  <si>
    <t>Carry Over</t>
  </si>
  <si>
    <t>Total</t>
  </si>
  <si>
    <t>Low</t>
  </si>
  <si>
    <t>Max</t>
  </si>
  <si>
    <t>Current</t>
  </si>
  <si>
    <t>Ticker</t>
  </si>
  <si>
    <t>QQQ</t>
  </si>
  <si>
    <t>Percentage Drop</t>
  </si>
  <si>
    <t>Percentage Recover</t>
  </si>
  <si>
    <t>Fidelity</t>
  </si>
  <si>
    <t>Roth</t>
  </si>
  <si>
    <t>Rollover</t>
  </si>
  <si>
    <t>Fund from 401K $36,604.91</t>
  </si>
  <si>
    <t>Fund from 401K $11,858.01</t>
  </si>
  <si>
    <t>TSLA</t>
  </si>
  <si>
    <t>Fixed Long Holding Account</t>
  </si>
  <si>
    <t>Hong - Brokerage</t>
  </si>
  <si>
    <t>Hong - Roth</t>
  </si>
  <si>
    <t>BoA</t>
  </si>
  <si>
    <t>Fee</t>
  </si>
  <si>
    <t>Loan</t>
  </si>
  <si>
    <t>Credit Loan - 3040</t>
  </si>
  <si>
    <t>Credit Loan - 8263</t>
  </si>
  <si>
    <t>Total Loan from BoA = -$87,550</t>
  </si>
  <si>
    <t>Due: 4/30/2024</t>
  </si>
  <si>
    <t>Note 2</t>
  </si>
  <si>
    <t>Note 1</t>
  </si>
  <si>
    <t>Loan from Hong 401K -$50,000</t>
  </si>
  <si>
    <t>Rollover ATT Pension</t>
  </si>
  <si>
    <t>Rollover from ATT pension $23,757</t>
  </si>
  <si>
    <t>$20,921 IRS + $1,353 MD Tax Refunds</t>
  </si>
  <si>
    <t>New Sum</t>
  </si>
  <si>
    <t>Rollovered to Roth</t>
  </si>
  <si>
    <t>Closed 09/08/2023. 205 shares of tqqq moved to Long-Term</t>
  </si>
  <si>
    <t>Luke</t>
  </si>
  <si>
    <t>Long-Term+IRA+Edu+Hong</t>
  </si>
  <si>
    <t>H-S-A</t>
  </si>
  <si>
    <t>Long-Term+Roth+Rollover+H.S.A.</t>
  </si>
  <si>
    <t>Roth-S,Roth-F,Roll-F,H.S.A-S</t>
  </si>
  <si>
    <t>Houses (3/3/2024)</t>
  </si>
  <si>
    <t>Houses</t>
  </si>
  <si>
    <t>Total Stocks</t>
  </si>
  <si>
    <t>Luke Total Stocks</t>
  </si>
  <si>
    <t>Roth,Rollover,H.S.A</t>
  </si>
  <si>
    <t>House (3/3/2024)</t>
  </si>
  <si>
    <t>Houses (6/5/2024)</t>
  </si>
  <si>
    <t>Edit This Line</t>
  </si>
  <si>
    <t>Hong - Invest1</t>
  </si>
  <si>
    <t>Hong - Invest2</t>
  </si>
  <si>
    <t>Long-Term + IRA + Rollover (Luke)</t>
  </si>
  <si>
    <t>Margin (+ $18k extra tax)</t>
  </si>
  <si>
    <t>BoA Loan (07/19/2024) Due: 08/01/2025</t>
  </si>
  <si>
    <t>Bought 1,300 TQQQ@$71.00/share</t>
  </si>
  <si>
    <t>Bought 500 TQQQ@73.75</t>
  </si>
  <si>
    <t>SOXL</t>
  </si>
  <si>
    <t>YINN</t>
  </si>
  <si>
    <t>Luke Chase -$3,500 Due: 08/01/2025</t>
  </si>
  <si>
    <t>CSI 300 One Month Performance (as of 2024-10-08)</t>
  </si>
  <si>
    <t>CSI 100</t>
  </si>
  <si>
    <t>ASHR</t>
  </si>
  <si>
    <t>CHAU</t>
  </si>
  <si>
    <t>From</t>
  </si>
  <si>
    <t>To</t>
  </si>
  <si>
    <t>Up</t>
  </si>
  <si>
    <t>One Day Big Drop</t>
  </si>
  <si>
    <t>Regal Oak</t>
  </si>
  <si>
    <t>House</t>
  </si>
  <si>
    <t>Current Value</t>
  </si>
  <si>
    <t>Net</t>
  </si>
  <si>
    <t>22nd</t>
  </si>
  <si>
    <t>Westchester</t>
  </si>
  <si>
    <t>Chestnut</t>
  </si>
  <si>
    <t>La Costa</t>
  </si>
  <si>
    <t>Cupertino</t>
  </si>
  <si>
    <t>Indian Wells</t>
  </si>
  <si>
    <t>Sum</t>
  </si>
  <si>
    <t>TSLL</t>
  </si>
  <si>
    <t>Value</t>
  </si>
  <si>
    <t>Roth IRA</t>
  </si>
  <si>
    <t>Rollover IRA</t>
  </si>
  <si>
    <t>TT Education</t>
  </si>
  <si>
    <t>HH Education</t>
  </si>
  <si>
    <t>==============</t>
  </si>
  <si>
    <t>All Total</t>
  </si>
  <si>
    <t>Luke Citi -$3,500 Due: 08/01/2025</t>
  </si>
  <si>
    <t>Src</t>
  </si>
  <si>
    <t>Rate (APR)</t>
  </si>
  <si>
    <t>Balance</t>
  </si>
  <si>
    <t>HAS 2025</t>
  </si>
  <si>
    <t>Family</t>
  </si>
  <si>
    <t>Individual</t>
  </si>
  <si>
    <t>401K Regular</t>
  </si>
  <si>
    <t>401K Catch Up</t>
  </si>
  <si>
    <t>IRA Catch Up</t>
  </si>
  <si>
    <t>HAS 2025 ($5,300)</t>
  </si>
  <si>
    <t>IRA Regular Luke</t>
  </si>
  <si>
    <t>IRA Regular Ruoping</t>
  </si>
  <si>
    <t>2025 Contribution Limit</t>
  </si>
  <si>
    <t>2025-08 New Loans</t>
  </si>
  <si>
    <t>From Roth IRA</t>
  </si>
  <si>
    <t>From Hong Card</t>
  </si>
  <si>
    <t>Paid off on 2025-08-11. BoA (Due 2025-08-12 Tuesday)</t>
  </si>
  <si>
    <t>From BoA 8263. (Due 2026-12) --- Mail home check</t>
  </si>
  <si>
    <t>From BoA 3040. (Due 2026-12) --- To paid off Citi Strata</t>
  </si>
  <si>
    <t>From Citi Strata (Paid off 2025-08-16 with BoA 3040)</t>
  </si>
  <si>
    <t>From Citi Simplicity (To pay off BoA8263)</t>
  </si>
  <si>
    <t>From BoA 3040 to Citi Strata</t>
  </si>
  <si>
    <t>Why failed to get money ($588) fron Capital One?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</si>
</sst>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&quot;$&quot;#,##0"/>
    <numFmt numFmtId="166" formatCode="yyyy\-mm\-dd;@"/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3" fontId="1" fillId="0" borderId="0" xfId="0" applyNumberFormat="1" applyFont="1"/>
    <xf numFmtId="165" fontId="1" fillId="0" borderId="0" xfId="0" applyNumberFormat="1" applyFont="1"/>
    <xf numFmtId="14" fontId="1" fillId="0" borderId="0" xfId="0" applyNumberFormat="1" applyFont="1"/>
    <xf numFmtId="10" fontId="1" fillId="0" borderId="0" xfId="0" applyNumberFormat="1" applyFont="1" applyAlignment="1">
      <alignment horizontal="center"/>
    </xf>
    <xf numFmtId="10" fontId="0" fillId="0" borderId="0" xfId="0" applyNumberFormat="1"/>
    <xf numFmtId="165" fontId="1" fillId="2" borderId="0" xfId="0" applyNumberFormat="1" applyFont="1" applyFill="1"/>
    <xf numFmtId="164" fontId="1" fillId="0" borderId="0" xfId="0" applyNumberFormat="1" applyFont="1"/>
    <xf numFmtId="10" fontId="1" fillId="0" borderId="0" xfId="0" applyNumberFormat="1" applyFont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3" fontId="1" fillId="3" borderId="0" xfId="0" applyNumberFormat="1" applyFont="1" applyFill="1"/>
    <xf numFmtId="166" fontId="1" fillId="2" borderId="0" xfId="0" applyNumberFormat="1" applyFont="1" applyFill="1"/>
    <xf numFmtId="3" fontId="1" fillId="4" borderId="0" xfId="0" applyNumberFormat="1" applyFont="1" applyFill="1"/>
    <xf numFmtId="164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1" fillId="0" borderId="0" xfId="0" applyNumberFormat="1" applyFont="1" applyAlignment="1">
      <alignment horizontal="center"/>
    </xf>
    <xf numFmtId="167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64" fontId="1" fillId="5" borderId="0" xfId="0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164" fontId="1" fillId="6" borderId="0" xfId="0" applyNumberFormat="1" applyFont="1" applyFill="1"/>
    <xf numFmtId="3" fontId="1" fillId="6" borderId="0" xfId="0" applyNumberFormat="1" applyFont="1" applyFill="1"/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0" fillId="0" borderId="0" xfId="0" applyNumberFormat="1"/>
    <xf numFmtId="165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16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F160-7B56-403F-BD53-DEBBCDE04645}">
  <dimension ref="A3:G41"/>
  <sheetViews>
    <sheetView workbookViewId="0">
      <selection activeCell="J14" sqref="J14"/>
    </sheetView>
  </sheetViews>
  <sheetFormatPr defaultRowHeight="14.5" x14ac:dyDescent="0.35"/>
  <cols>
    <col min="1" max="1" width="18.90625" customWidth="1"/>
    <col min="2" max="2" width="15.453125" customWidth="1"/>
    <col min="3" max="3" width="15.90625" bestFit="1" customWidth="1"/>
    <col min="4" max="4" width="14" customWidth="1"/>
    <col min="5" max="5" width="17.1796875" customWidth="1"/>
    <col min="6" max="6" width="17.08984375" customWidth="1"/>
    <col min="7" max="7" width="19" customWidth="1"/>
    <col min="8" max="8" width="15.36328125" customWidth="1"/>
    <col min="9" max="9" width="13.7265625" customWidth="1"/>
    <col min="10" max="10" width="11.36328125" customWidth="1"/>
  </cols>
  <sheetData>
    <row r="3" spans="1:7" s="38" customFormat="1" ht="15.5" x14ac:dyDescent="0.35">
      <c r="A3" s="38" t="s">
        <v>0</v>
      </c>
      <c r="B3" s="38" t="s">
        <v>2</v>
      </c>
      <c r="C3" s="38" t="s">
        <v>17</v>
      </c>
      <c r="D3" s="38" t="s">
        <v>1</v>
      </c>
      <c r="E3" s="38" t="s">
        <v>96</v>
      </c>
      <c r="F3" s="38" t="s">
        <v>4</v>
      </c>
      <c r="G3" s="38" t="s">
        <v>87</v>
      </c>
    </row>
    <row r="4" spans="1:7" x14ac:dyDescent="0.35">
      <c r="A4" s="4">
        <v>45650</v>
      </c>
      <c r="B4" t="s">
        <v>95</v>
      </c>
      <c r="C4" s="40">
        <v>34.89</v>
      </c>
      <c r="D4" s="41">
        <v>9510</v>
      </c>
      <c r="E4" s="10">
        <f>C4*D4</f>
        <v>331803.90000000002</v>
      </c>
      <c r="F4" s="10"/>
      <c r="G4" s="10">
        <f>E4+F4</f>
        <v>331803.90000000002</v>
      </c>
    </row>
    <row r="5" spans="1:7" x14ac:dyDescent="0.35">
      <c r="A5" s="2"/>
      <c r="B5" t="s">
        <v>33</v>
      </c>
      <c r="C5" s="40">
        <v>452.23</v>
      </c>
      <c r="D5" s="41">
        <v>685</v>
      </c>
      <c r="E5" s="10">
        <f>C5*D5</f>
        <v>309777.55</v>
      </c>
      <c r="F5" s="10">
        <v>-337063</v>
      </c>
      <c r="G5" s="10">
        <f>E5+F5</f>
        <v>-27285.450000000012</v>
      </c>
    </row>
    <row r="6" spans="1:7" x14ac:dyDescent="0.35">
      <c r="A6" s="2"/>
      <c r="D6" s="6"/>
      <c r="E6" s="10"/>
      <c r="F6" s="10"/>
      <c r="G6" s="10"/>
    </row>
    <row r="7" spans="1:7" x14ac:dyDescent="0.35">
      <c r="A7" s="2"/>
      <c r="D7" s="6"/>
      <c r="E7" s="10"/>
      <c r="F7" s="10"/>
      <c r="G7" s="10"/>
    </row>
    <row r="8" spans="1:7" x14ac:dyDescent="0.35">
      <c r="A8" s="2"/>
      <c r="D8" s="6"/>
      <c r="E8" s="10"/>
      <c r="F8" s="35" t="s">
        <v>87</v>
      </c>
      <c r="G8" s="16">
        <f>SUM(G4:G7)</f>
        <v>304518.45</v>
      </c>
    </row>
    <row r="9" spans="1:7" x14ac:dyDescent="0.35">
      <c r="A9" s="2"/>
      <c r="D9" s="6"/>
      <c r="E9" s="10"/>
      <c r="F9" s="10"/>
      <c r="G9" s="10"/>
    </row>
    <row r="10" spans="1:7" x14ac:dyDescent="0.35">
      <c r="A10" s="2" t="s">
        <v>97</v>
      </c>
      <c r="B10" t="s">
        <v>95</v>
      </c>
      <c r="D10" s="6">
        <v>13071</v>
      </c>
      <c r="E10" s="10">
        <f>$C$4*D10</f>
        <v>456047.19</v>
      </c>
      <c r="F10" s="10"/>
      <c r="G10" s="10">
        <f>E10+F10</f>
        <v>456047.19</v>
      </c>
    </row>
    <row r="11" spans="1:7" x14ac:dyDescent="0.35">
      <c r="A11" s="2" t="s">
        <v>98</v>
      </c>
      <c r="B11" t="s">
        <v>95</v>
      </c>
      <c r="D11" s="6">
        <v>2333</v>
      </c>
      <c r="E11" s="10">
        <f t="shared" ref="E11:E18" si="0">$C$4*D11</f>
        <v>81398.37</v>
      </c>
      <c r="F11" s="10"/>
      <c r="G11" s="10">
        <f t="shared" ref="G11:G18" si="1">E11+F11</f>
        <v>81398.37</v>
      </c>
    </row>
    <row r="12" spans="1:7" x14ac:dyDescent="0.35">
      <c r="A12" s="2"/>
      <c r="D12" s="6"/>
      <c r="E12" s="10"/>
      <c r="F12" s="10"/>
      <c r="G12" s="10"/>
    </row>
    <row r="13" spans="1:7" x14ac:dyDescent="0.35">
      <c r="A13" s="2"/>
      <c r="D13" s="6"/>
      <c r="E13" s="10"/>
      <c r="F13" s="35" t="s">
        <v>102</v>
      </c>
      <c r="G13" s="12">
        <f>SUM(G8:G12)</f>
        <v>841964.01</v>
      </c>
    </row>
    <row r="14" spans="1:7" x14ac:dyDescent="0.35">
      <c r="A14" s="2"/>
      <c r="D14" s="6"/>
      <c r="E14" s="10"/>
      <c r="F14" s="10"/>
      <c r="G14" s="10"/>
    </row>
    <row r="15" spans="1:7" x14ac:dyDescent="0.35">
      <c r="A15" s="2"/>
      <c r="D15" s="6"/>
      <c r="E15" s="10"/>
      <c r="F15" s="10"/>
      <c r="G15" s="10"/>
    </row>
    <row r="16" spans="1:7" x14ac:dyDescent="0.35">
      <c r="A16" s="2"/>
      <c r="D16" s="6"/>
      <c r="E16" s="10"/>
      <c r="F16" s="10"/>
      <c r="G16" s="10"/>
    </row>
    <row r="17" spans="1:7" x14ac:dyDescent="0.35">
      <c r="A17" s="2" t="s">
        <v>99</v>
      </c>
      <c r="B17" t="s">
        <v>95</v>
      </c>
      <c r="D17" s="6">
        <v>361</v>
      </c>
      <c r="E17" s="10">
        <f t="shared" si="0"/>
        <v>12595.29</v>
      </c>
      <c r="F17" s="10"/>
      <c r="G17" s="10">
        <f t="shared" si="1"/>
        <v>12595.29</v>
      </c>
    </row>
    <row r="18" spans="1:7" x14ac:dyDescent="0.35">
      <c r="A18" s="2" t="s">
        <v>100</v>
      </c>
      <c r="B18" t="s">
        <v>95</v>
      </c>
      <c r="D18" s="6">
        <v>2117</v>
      </c>
      <c r="E18" s="10">
        <f t="shared" si="0"/>
        <v>73862.13</v>
      </c>
      <c r="F18" s="10"/>
      <c r="G18" s="10">
        <f t="shared" si="1"/>
        <v>73862.13</v>
      </c>
    </row>
    <row r="19" spans="1:7" x14ac:dyDescent="0.35">
      <c r="D19" s="6"/>
      <c r="E19" s="10"/>
      <c r="F19" s="10"/>
      <c r="G19" s="10"/>
    </row>
    <row r="20" spans="1:7" x14ac:dyDescent="0.35">
      <c r="D20" s="6"/>
      <c r="E20" s="10"/>
      <c r="F20" s="10"/>
      <c r="G20" s="10"/>
    </row>
    <row r="21" spans="1:7" x14ac:dyDescent="0.35">
      <c r="D21" s="6"/>
      <c r="E21" s="10"/>
      <c r="F21" s="10"/>
      <c r="G21" s="10"/>
    </row>
    <row r="22" spans="1:7" x14ac:dyDescent="0.35">
      <c r="D22" s="6"/>
      <c r="E22" s="10"/>
      <c r="F22" s="10"/>
      <c r="G22" s="10"/>
    </row>
    <row r="23" spans="1:7" x14ac:dyDescent="0.35">
      <c r="D23" s="6"/>
      <c r="E23" s="10"/>
      <c r="F23" s="10"/>
      <c r="G23" s="10"/>
    </row>
    <row r="24" spans="1:7" x14ac:dyDescent="0.35">
      <c r="D24" s="6"/>
      <c r="E24" s="10"/>
      <c r="F24" s="10"/>
      <c r="G24" s="10"/>
    </row>
    <row r="25" spans="1:7" x14ac:dyDescent="0.35">
      <c r="D25" s="6"/>
      <c r="E25" s="10"/>
      <c r="F25" s="10"/>
      <c r="G25" s="10"/>
    </row>
    <row r="26" spans="1:7" x14ac:dyDescent="0.35">
      <c r="A26" s="39" t="s">
        <v>101</v>
      </c>
    </row>
    <row r="31" spans="1:7" s="38" customFormat="1" ht="15.5" x14ac:dyDescent="0.35">
      <c r="A31" s="38" t="s">
        <v>0</v>
      </c>
      <c r="B31" s="38" t="s">
        <v>85</v>
      </c>
      <c r="C31" s="38" t="s">
        <v>86</v>
      </c>
      <c r="D31" s="38" t="s">
        <v>39</v>
      </c>
      <c r="E31" s="38" t="s">
        <v>87</v>
      </c>
    </row>
    <row r="32" spans="1:7" x14ac:dyDescent="0.35">
      <c r="A32" s="4">
        <v>45650</v>
      </c>
      <c r="B32" t="s">
        <v>84</v>
      </c>
      <c r="C32" s="10">
        <v>773100</v>
      </c>
      <c r="D32" s="10">
        <v>368649</v>
      </c>
      <c r="E32" s="10">
        <f>C32-D32</f>
        <v>404451</v>
      </c>
    </row>
    <row r="33" spans="2:5" x14ac:dyDescent="0.35">
      <c r="B33" t="s">
        <v>88</v>
      </c>
      <c r="C33" s="10">
        <v>343300</v>
      </c>
      <c r="D33" s="10">
        <v>140000</v>
      </c>
      <c r="E33" s="10">
        <f t="shared" ref="E33:E38" si="2">C33-D33</f>
        <v>203300</v>
      </c>
    </row>
    <row r="34" spans="2:5" x14ac:dyDescent="0.35">
      <c r="B34" t="s">
        <v>89</v>
      </c>
      <c r="C34" s="10">
        <v>507600</v>
      </c>
      <c r="D34" s="10">
        <v>103502</v>
      </c>
      <c r="E34" s="10">
        <f t="shared" si="2"/>
        <v>404098</v>
      </c>
    </row>
    <row r="35" spans="2:5" x14ac:dyDescent="0.35">
      <c r="B35" t="s">
        <v>90</v>
      </c>
      <c r="C35" s="10">
        <v>527400</v>
      </c>
      <c r="D35" s="10">
        <v>115612</v>
      </c>
      <c r="E35" s="10">
        <f t="shared" si="2"/>
        <v>411788</v>
      </c>
    </row>
    <row r="36" spans="2:5" x14ac:dyDescent="0.35">
      <c r="B36" t="s">
        <v>91</v>
      </c>
      <c r="C36" s="10">
        <v>553300</v>
      </c>
      <c r="D36" s="10">
        <v>287695</v>
      </c>
      <c r="E36" s="10">
        <f t="shared" si="2"/>
        <v>265605</v>
      </c>
    </row>
    <row r="37" spans="2:5" x14ac:dyDescent="0.35">
      <c r="B37" t="s">
        <v>92</v>
      </c>
      <c r="C37" s="10">
        <v>598000</v>
      </c>
      <c r="D37" s="10">
        <v>298174</v>
      </c>
      <c r="E37" s="10">
        <f t="shared" si="2"/>
        <v>299826</v>
      </c>
    </row>
    <row r="38" spans="2:5" x14ac:dyDescent="0.35">
      <c r="B38" t="s">
        <v>93</v>
      </c>
      <c r="C38" s="10">
        <v>637000</v>
      </c>
      <c r="D38" s="10">
        <v>218813</v>
      </c>
      <c r="E38" s="10">
        <f t="shared" si="2"/>
        <v>418187</v>
      </c>
    </row>
    <row r="39" spans="2:5" x14ac:dyDescent="0.35">
      <c r="C39" s="10"/>
      <c r="D39" s="10"/>
      <c r="E39" s="10"/>
    </row>
    <row r="40" spans="2:5" x14ac:dyDescent="0.35">
      <c r="C40" s="10"/>
      <c r="D40" s="10"/>
      <c r="E40" s="10"/>
    </row>
    <row r="41" spans="2:5" x14ac:dyDescent="0.35">
      <c r="C41" s="10"/>
      <c r="D41" s="35" t="s">
        <v>94</v>
      </c>
      <c r="E41" s="12">
        <f>SUM(E32:E38)</f>
        <v>2407255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B95E-65FC-4D8F-82B7-9518EBE893E1}">
  <dimension ref="A1:U33"/>
  <sheetViews>
    <sheetView zoomScale="115" zoomScaleNormal="115" workbookViewId="0">
      <selection activeCell="L3" sqref="L3"/>
    </sheetView>
  </sheetViews>
  <sheetFormatPr defaultRowHeight="14.5" x14ac:dyDescent="0.35"/>
  <cols>
    <col min="2" max="2" width="30.81640625" customWidth="1"/>
    <col min="3" max="3" width="11.54296875" style="3" customWidth="1"/>
    <col min="4" max="4" width="11.54296875" style="3" bestFit="1" customWidth="1"/>
    <col min="6" max="6" width="8.81640625" style="6"/>
    <col min="7" max="7" width="12.81640625" style="34" customWidth="1"/>
    <col min="8" max="8" width="8.81640625" style="8"/>
    <col min="9" max="9" width="11.1796875" style="8" customWidth="1"/>
    <col min="10" max="10" width="13.81640625" style="36" customWidth="1"/>
    <col min="11" max="11" width="25.54296875" style="10" bestFit="1" customWidth="1"/>
    <col min="12" max="12" width="34.54296875" style="10" customWidth="1"/>
    <col min="13" max="13" width="29.1796875" style="10" bestFit="1" customWidth="1"/>
    <col min="14" max="14" width="30.81640625" bestFit="1" customWidth="1"/>
    <col min="15" max="15" width="9.54296875" style="3" bestFit="1" customWidth="1"/>
    <col min="16" max="18" width="8.81640625" style="8"/>
    <col min="19" max="19" width="15.08984375" style="15" bestFit="1" customWidth="1"/>
    <col min="20" max="20" width="17.81640625" style="15" bestFit="1" customWidth="1"/>
  </cols>
  <sheetData>
    <row r="1" spans="1:21" s="2" customFormat="1" x14ac:dyDescent="0.35">
      <c r="A1" s="2" t="s">
        <v>6</v>
      </c>
      <c r="B1" s="2" t="s">
        <v>7</v>
      </c>
      <c r="C1" s="4" t="s">
        <v>0</v>
      </c>
      <c r="D1" s="4" t="s">
        <v>14</v>
      </c>
      <c r="E1" s="2" t="s">
        <v>2</v>
      </c>
      <c r="F1" s="5" t="s">
        <v>1</v>
      </c>
      <c r="G1" s="24" t="s">
        <v>17</v>
      </c>
      <c r="H1" s="7"/>
      <c r="I1" s="7" t="s">
        <v>19</v>
      </c>
      <c r="J1" s="35" t="s">
        <v>3</v>
      </c>
      <c r="K1" s="9" t="s">
        <v>4</v>
      </c>
      <c r="L1" s="9" t="s">
        <v>45</v>
      </c>
      <c r="M1" s="9" t="s">
        <v>44</v>
      </c>
      <c r="N1" s="2" t="s">
        <v>24</v>
      </c>
      <c r="O1" s="4" t="s">
        <v>0</v>
      </c>
      <c r="P1" s="7" t="s">
        <v>21</v>
      </c>
      <c r="Q1" s="7" t="s">
        <v>22</v>
      </c>
      <c r="R1" s="7" t="s">
        <v>23</v>
      </c>
      <c r="S1" s="14" t="s">
        <v>26</v>
      </c>
      <c r="T1" s="14" t="s">
        <v>27</v>
      </c>
    </row>
    <row r="2" spans="1:21" x14ac:dyDescent="0.35">
      <c r="B2" s="20" t="s">
        <v>65</v>
      </c>
      <c r="C2" s="22">
        <v>45573</v>
      </c>
      <c r="D2" s="13"/>
      <c r="E2" s="1" t="s">
        <v>16</v>
      </c>
      <c r="F2" s="11"/>
      <c r="G2" s="33">
        <v>72.34</v>
      </c>
      <c r="H2" s="17"/>
      <c r="I2" s="17"/>
      <c r="J2" s="35"/>
      <c r="K2" s="10">
        <f>-14000-71000</f>
        <v>-85000</v>
      </c>
      <c r="L2" s="10" t="s">
        <v>70</v>
      </c>
      <c r="M2" s="10" t="s">
        <v>71</v>
      </c>
      <c r="N2" t="s">
        <v>72</v>
      </c>
    </row>
    <row r="3" spans="1:21" x14ac:dyDescent="0.35">
      <c r="E3" s="1" t="s">
        <v>73</v>
      </c>
      <c r="G3" s="33">
        <v>37.35</v>
      </c>
      <c r="K3" s="10">
        <v>-3500</v>
      </c>
      <c r="L3" s="10" t="s">
        <v>103</v>
      </c>
    </row>
    <row r="4" spans="1:21" x14ac:dyDescent="0.35">
      <c r="B4" s="1"/>
      <c r="C4" s="13"/>
      <c r="D4" s="4"/>
      <c r="E4" s="1" t="s">
        <v>79</v>
      </c>
      <c r="F4" s="11"/>
      <c r="G4" s="33">
        <v>19.52</v>
      </c>
      <c r="H4" s="17"/>
      <c r="I4" s="17"/>
      <c r="J4" s="35"/>
      <c r="K4" s="12"/>
      <c r="L4" s="10" t="s">
        <v>69</v>
      </c>
    </row>
    <row r="5" spans="1:21" x14ac:dyDescent="0.35">
      <c r="E5" s="1" t="s">
        <v>74</v>
      </c>
      <c r="F5" s="11"/>
      <c r="G5" s="33">
        <v>37.549999999999997</v>
      </c>
    </row>
    <row r="6" spans="1:21" x14ac:dyDescent="0.35">
      <c r="F6" s="11"/>
    </row>
    <row r="7" spans="1:21" x14ac:dyDescent="0.35">
      <c r="E7" s="1"/>
      <c r="F7" s="11"/>
    </row>
    <row r="8" spans="1:21" x14ac:dyDescent="0.35">
      <c r="E8" s="1"/>
      <c r="F8" s="11"/>
      <c r="J8" s="35"/>
    </row>
    <row r="9" spans="1:21" x14ac:dyDescent="0.35">
      <c r="A9" s="47" t="s">
        <v>34</v>
      </c>
      <c r="B9" s="47"/>
      <c r="C9" s="47"/>
      <c r="D9" s="47"/>
      <c r="E9" s="47"/>
      <c r="F9" s="47"/>
      <c r="G9" s="47"/>
      <c r="H9" s="47"/>
      <c r="I9" s="47"/>
      <c r="J9" s="47"/>
    </row>
    <row r="10" spans="1:21" x14ac:dyDescent="0.35">
      <c r="A10" s="2" t="s">
        <v>6</v>
      </c>
      <c r="B10" s="2" t="s">
        <v>7</v>
      </c>
      <c r="C10" s="4" t="s">
        <v>0</v>
      </c>
      <c r="D10" s="4"/>
      <c r="E10" s="2" t="s">
        <v>2</v>
      </c>
      <c r="F10" s="5" t="s">
        <v>1</v>
      </c>
      <c r="G10" s="24" t="s">
        <v>17</v>
      </c>
      <c r="H10" s="7" t="s">
        <v>5</v>
      </c>
      <c r="I10" s="7" t="s">
        <v>19</v>
      </c>
      <c r="J10" s="35" t="s">
        <v>3</v>
      </c>
    </row>
    <row r="11" spans="1:21" x14ac:dyDescent="0.35">
      <c r="A11" s="2" t="s">
        <v>8</v>
      </c>
      <c r="B11" s="30" t="s">
        <v>9</v>
      </c>
      <c r="C11" s="4"/>
      <c r="D11" s="32"/>
      <c r="E11" s="31" t="s">
        <v>16</v>
      </c>
      <c r="F11" s="6">
        <v>19</v>
      </c>
      <c r="G11" s="34">
        <f>G2</f>
        <v>72.34</v>
      </c>
      <c r="H11" s="26"/>
      <c r="I11" s="26"/>
      <c r="J11" s="36">
        <f>F11*G11</f>
        <v>1374.46</v>
      </c>
    </row>
    <row r="12" spans="1:21" x14ac:dyDescent="0.35">
      <c r="A12" s="2"/>
      <c r="B12" s="2"/>
      <c r="C12" s="4"/>
      <c r="D12" s="32"/>
      <c r="E12" s="31" t="s">
        <v>73</v>
      </c>
      <c r="F12" s="6">
        <v>60</v>
      </c>
      <c r="G12" s="34">
        <f>G3</f>
        <v>37.35</v>
      </c>
      <c r="H12" s="26"/>
      <c r="I12" s="26"/>
      <c r="J12" s="36">
        <f t="shared" ref="J12:J22" si="0">F12*G12</f>
        <v>2241</v>
      </c>
    </row>
    <row r="13" spans="1:21" x14ac:dyDescent="0.35">
      <c r="A13" s="2"/>
      <c r="B13" s="2"/>
      <c r="C13" s="4"/>
      <c r="D13" s="32"/>
      <c r="E13" s="30" t="s">
        <v>79</v>
      </c>
      <c r="F13" s="11">
        <v>8524</v>
      </c>
      <c r="G13" s="34">
        <f>G4</f>
        <v>19.52</v>
      </c>
      <c r="H13" s="26"/>
      <c r="I13" s="26"/>
      <c r="J13" s="35">
        <f t="shared" si="0"/>
        <v>166388.48000000001</v>
      </c>
    </row>
    <row r="14" spans="1:21" s="10" customFormat="1" x14ac:dyDescent="0.35">
      <c r="A14" s="1" t="s">
        <v>8</v>
      </c>
      <c r="B14" s="1" t="s">
        <v>29</v>
      </c>
      <c r="C14" s="3"/>
      <c r="D14" s="3"/>
      <c r="E14" t="s">
        <v>16</v>
      </c>
      <c r="F14" s="6">
        <v>170</v>
      </c>
      <c r="G14" s="34">
        <f>G2</f>
        <v>72.34</v>
      </c>
      <c r="H14" s="8"/>
      <c r="I14" s="8"/>
      <c r="J14" s="36">
        <f t="shared" si="0"/>
        <v>12297.800000000001</v>
      </c>
      <c r="N14"/>
      <c r="O14" s="3"/>
      <c r="P14" s="8"/>
      <c r="Q14" s="8"/>
      <c r="R14" s="8"/>
      <c r="S14" s="15"/>
      <c r="T14" s="15"/>
      <c r="U14"/>
    </row>
    <row r="15" spans="1:21" s="10" customFormat="1" x14ac:dyDescent="0.35">
      <c r="A15" s="1"/>
      <c r="B15" s="1"/>
      <c r="C15" s="3"/>
      <c r="D15" s="3"/>
      <c r="E15" s="30" t="s">
        <v>79</v>
      </c>
      <c r="F15" s="11">
        <v>15268</v>
      </c>
      <c r="G15" s="34">
        <f>G4</f>
        <v>19.52</v>
      </c>
      <c r="H15" s="8"/>
      <c r="I15" s="8"/>
      <c r="J15" s="35">
        <f t="shared" si="0"/>
        <v>298031.35999999999</v>
      </c>
      <c r="N15"/>
      <c r="O15" s="3"/>
      <c r="P15" s="8"/>
      <c r="Q15" s="8"/>
      <c r="R15" s="8"/>
      <c r="S15" s="15"/>
      <c r="T15" s="15"/>
      <c r="U15"/>
    </row>
    <row r="16" spans="1:21" s="10" customFormat="1" x14ac:dyDescent="0.35">
      <c r="A16" s="1" t="s">
        <v>8</v>
      </c>
      <c r="B16" s="1" t="s">
        <v>30</v>
      </c>
      <c r="C16" s="3"/>
      <c r="D16" s="3"/>
      <c r="E16" t="s">
        <v>16</v>
      </c>
      <c r="F16" s="6">
        <v>90</v>
      </c>
      <c r="G16" s="34">
        <f>G2</f>
        <v>72.34</v>
      </c>
      <c r="H16" s="8"/>
      <c r="I16" s="8"/>
      <c r="J16" s="36">
        <f t="shared" si="0"/>
        <v>6510.6</v>
      </c>
      <c r="N16"/>
      <c r="O16" s="3"/>
      <c r="P16" s="8"/>
      <c r="Q16" s="8"/>
      <c r="R16" s="8"/>
      <c r="S16" s="15"/>
      <c r="T16" s="15"/>
      <c r="U16"/>
    </row>
    <row r="17" spans="1:21" s="10" customFormat="1" x14ac:dyDescent="0.35">
      <c r="A17" s="1"/>
      <c r="B17" s="1"/>
      <c r="C17" s="3"/>
      <c r="D17" s="3"/>
      <c r="E17" s="30" t="s">
        <v>79</v>
      </c>
      <c r="F17" s="11">
        <v>2463</v>
      </c>
      <c r="G17" s="34">
        <f>G4</f>
        <v>19.52</v>
      </c>
      <c r="H17" s="8"/>
      <c r="I17" s="8"/>
      <c r="J17" s="35">
        <f t="shared" si="0"/>
        <v>48077.760000000002</v>
      </c>
      <c r="N17"/>
      <c r="O17" s="3"/>
      <c r="P17" s="8"/>
      <c r="Q17" s="8"/>
      <c r="R17" s="8"/>
      <c r="S17" s="15"/>
      <c r="T17" s="15"/>
      <c r="U17"/>
    </row>
    <row r="18" spans="1:21" s="10" customFormat="1" x14ac:dyDescent="0.35">
      <c r="A18" t="s">
        <v>8</v>
      </c>
      <c r="B18" s="1" t="s">
        <v>12</v>
      </c>
      <c r="C18" s="3"/>
      <c r="D18" s="3"/>
      <c r="E18" t="s">
        <v>16</v>
      </c>
      <c r="F18" s="6">
        <v>15</v>
      </c>
      <c r="G18" s="34">
        <f>G2</f>
        <v>72.34</v>
      </c>
      <c r="H18" s="8"/>
      <c r="I18" s="8"/>
      <c r="J18" s="36">
        <f t="shared" si="0"/>
        <v>1085.1000000000001</v>
      </c>
      <c r="N18"/>
      <c r="O18" s="3"/>
      <c r="P18" s="8"/>
      <c r="Q18" s="8"/>
      <c r="R18" s="8"/>
      <c r="S18" s="15"/>
      <c r="T18" s="15"/>
      <c r="U18"/>
    </row>
    <row r="19" spans="1:21" s="10" customFormat="1" x14ac:dyDescent="0.35">
      <c r="A19"/>
      <c r="B19" s="1"/>
      <c r="C19" s="3"/>
      <c r="D19" s="3"/>
      <c r="E19" s="30" t="s">
        <v>74</v>
      </c>
      <c r="F19" s="11">
        <v>170</v>
      </c>
      <c r="G19" s="34">
        <f>G5</f>
        <v>37.549999999999997</v>
      </c>
      <c r="H19" s="8"/>
      <c r="I19" s="8"/>
      <c r="J19" s="35">
        <f t="shared" si="0"/>
        <v>6383.4999999999991</v>
      </c>
      <c r="N19"/>
      <c r="O19" s="3"/>
      <c r="P19" s="8"/>
      <c r="Q19" s="8"/>
      <c r="R19" s="8"/>
      <c r="S19" s="15"/>
      <c r="T19" s="15"/>
      <c r="U19"/>
    </row>
    <row r="20" spans="1:21" x14ac:dyDescent="0.35">
      <c r="A20" t="s">
        <v>8</v>
      </c>
      <c r="B20" s="1" t="s">
        <v>13</v>
      </c>
      <c r="E20" t="s">
        <v>16</v>
      </c>
      <c r="F20" s="6">
        <v>4</v>
      </c>
      <c r="G20" s="34">
        <f>G2</f>
        <v>72.34</v>
      </c>
      <c r="J20" s="36">
        <f t="shared" si="0"/>
        <v>289.36</v>
      </c>
    </row>
    <row r="21" spans="1:21" x14ac:dyDescent="0.35">
      <c r="B21" s="1"/>
      <c r="E21" s="30" t="s">
        <v>74</v>
      </c>
      <c r="F21" s="11">
        <v>1076</v>
      </c>
      <c r="G21" s="34">
        <f>G5</f>
        <v>37.549999999999997</v>
      </c>
      <c r="J21" s="35">
        <f t="shared" si="0"/>
        <v>40403.799999999996</v>
      </c>
    </row>
    <row r="22" spans="1:21" x14ac:dyDescent="0.35">
      <c r="A22" s="1" t="s">
        <v>8</v>
      </c>
      <c r="B22" s="1" t="s">
        <v>55</v>
      </c>
      <c r="E22" t="s">
        <v>16</v>
      </c>
      <c r="F22" s="6">
        <v>5</v>
      </c>
      <c r="G22" s="34">
        <f>G2</f>
        <v>72.34</v>
      </c>
      <c r="J22" s="36">
        <f t="shared" si="0"/>
        <v>361.70000000000005</v>
      </c>
    </row>
    <row r="23" spans="1:21" x14ac:dyDescent="0.35">
      <c r="A23" s="1"/>
      <c r="B23" s="1"/>
    </row>
    <row r="24" spans="1:21" x14ac:dyDescent="0.35">
      <c r="A24" s="1"/>
      <c r="B24" s="1"/>
    </row>
    <row r="26" spans="1:21" s="10" customFormat="1" x14ac:dyDescent="0.35">
      <c r="A26"/>
      <c r="B26"/>
      <c r="C26" s="3"/>
      <c r="D26" s="3"/>
      <c r="E26"/>
      <c r="F26" s="6"/>
      <c r="G26" s="34"/>
      <c r="H26" s="8"/>
      <c r="N26"/>
      <c r="O26" s="3"/>
      <c r="P26" s="8"/>
      <c r="Q26" s="8"/>
      <c r="R26" s="8"/>
      <c r="S26" s="15"/>
      <c r="T26" s="15"/>
      <c r="U26"/>
    </row>
    <row r="27" spans="1:21" s="10" customFormat="1" x14ac:dyDescent="0.35">
      <c r="A27"/>
      <c r="B27"/>
      <c r="C27" s="3"/>
      <c r="D27" s="3"/>
      <c r="E27"/>
      <c r="F27" s="6"/>
      <c r="G27" s="34"/>
      <c r="J27" s="37"/>
      <c r="K27" s="3"/>
      <c r="L27" s="8"/>
      <c r="M27" s="8"/>
      <c r="N27" s="8"/>
      <c r="O27" s="15"/>
      <c r="P27" s="15"/>
      <c r="Q27"/>
    </row>
    <row r="28" spans="1:21" x14ac:dyDescent="0.35">
      <c r="H28" s="10"/>
      <c r="I28" s="10"/>
      <c r="J28" s="37"/>
      <c r="K28" s="3"/>
      <c r="L28" s="8"/>
      <c r="M28" s="8"/>
      <c r="N28" s="8"/>
      <c r="O28" s="15"/>
      <c r="P28" s="15"/>
      <c r="Q28"/>
      <c r="R28"/>
      <c r="S28"/>
      <c r="T28"/>
    </row>
    <row r="29" spans="1:21" x14ac:dyDescent="0.35">
      <c r="H29" s="10"/>
      <c r="I29" s="10"/>
      <c r="J29" s="37"/>
      <c r="K29" s="3"/>
      <c r="L29" s="8"/>
      <c r="M29" s="8"/>
      <c r="N29" s="8"/>
      <c r="O29" s="15"/>
      <c r="P29" s="15"/>
      <c r="Q29"/>
      <c r="R29"/>
      <c r="S29"/>
      <c r="T29"/>
    </row>
    <row r="30" spans="1:21" x14ac:dyDescent="0.35">
      <c r="H30" s="10"/>
      <c r="I30" s="10" t="s">
        <v>20</v>
      </c>
      <c r="J30" s="36">
        <f>SUM(J11:J28)</f>
        <v>583444.91999999993</v>
      </c>
      <c r="K30" s="3"/>
      <c r="L30" s="8"/>
      <c r="M30" s="8"/>
      <c r="N30" s="8"/>
      <c r="O30" s="15"/>
      <c r="P30" s="15"/>
      <c r="Q30"/>
      <c r="R30"/>
      <c r="S30"/>
      <c r="T30"/>
    </row>
    <row r="32" spans="1:21" x14ac:dyDescent="0.35">
      <c r="I32" s="8" t="s">
        <v>59</v>
      </c>
      <c r="J32" s="35">
        <v>2442256</v>
      </c>
      <c r="K32" s="12" t="s">
        <v>64</v>
      </c>
    </row>
    <row r="33" spans="9:11" x14ac:dyDescent="0.35">
      <c r="I33" s="8" t="s">
        <v>59</v>
      </c>
      <c r="J33" s="35">
        <v>2388456</v>
      </c>
      <c r="K33" s="10" t="s">
        <v>63</v>
      </c>
    </row>
  </sheetData>
  <mergeCells count="1">
    <mergeCell ref="A9:J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topLeftCell="A7" zoomScale="115" zoomScaleNormal="115" workbookViewId="0">
      <selection activeCell="C18" sqref="C18"/>
    </sheetView>
  </sheetViews>
  <sheetFormatPr defaultRowHeight="14.5" x14ac:dyDescent="0.35"/>
  <cols>
    <col min="2" max="2" width="30.81640625" customWidth="1"/>
    <col min="3" max="3" width="11.54296875" style="3" customWidth="1"/>
    <col min="4" max="4" width="11.54296875" style="3" bestFit="1" customWidth="1"/>
    <col min="6" max="6" width="8.81640625" style="6"/>
    <col min="7" max="7" width="12.81640625" style="8" customWidth="1"/>
    <col min="8" max="8" width="8.81640625" style="8"/>
    <col min="9" max="9" width="11.1796875" style="8" customWidth="1"/>
    <col min="10" max="10" width="13.81640625" style="10" customWidth="1"/>
    <col min="11" max="11" width="25.54296875" style="10" bestFit="1" customWidth="1"/>
    <col min="12" max="12" width="34.54296875" style="10" customWidth="1"/>
    <col min="13" max="13" width="29.1796875" style="10" bestFit="1" customWidth="1"/>
    <col min="14" max="14" width="30.81640625" bestFit="1" customWidth="1"/>
    <col min="15" max="15" width="9.54296875" style="3" bestFit="1" customWidth="1"/>
    <col min="16" max="18" width="8.81640625" style="8"/>
    <col min="19" max="19" width="15.08984375" style="15" bestFit="1" customWidth="1"/>
    <col min="20" max="20" width="17.81640625" style="15" bestFit="1" customWidth="1"/>
  </cols>
  <sheetData>
    <row r="1" spans="1:20" s="2" customFormat="1" x14ac:dyDescent="0.35">
      <c r="A1" s="2" t="s">
        <v>6</v>
      </c>
      <c r="B1" s="2" t="s">
        <v>7</v>
      </c>
      <c r="C1" s="4" t="s">
        <v>0</v>
      </c>
      <c r="D1" s="4" t="s">
        <v>14</v>
      </c>
      <c r="E1" s="2" t="s">
        <v>2</v>
      </c>
      <c r="F1" s="5" t="s">
        <v>1</v>
      </c>
      <c r="G1" s="7" t="s">
        <v>17</v>
      </c>
      <c r="H1" s="7"/>
      <c r="I1" s="7" t="s">
        <v>19</v>
      </c>
      <c r="J1" s="9" t="s">
        <v>3</v>
      </c>
      <c r="K1" s="9" t="s">
        <v>4</v>
      </c>
      <c r="L1" s="9" t="s">
        <v>45</v>
      </c>
      <c r="M1" s="9" t="s">
        <v>44</v>
      </c>
      <c r="N1" s="2" t="s">
        <v>24</v>
      </c>
      <c r="O1" s="4" t="s">
        <v>0</v>
      </c>
      <c r="P1" s="7" t="s">
        <v>21</v>
      </c>
      <c r="Q1" s="7" t="s">
        <v>22</v>
      </c>
      <c r="R1" s="7" t="s">
        <v>23</v>
      </c>
      <c r="S1" s="14" t="s">
        <v>26</v>
      </c>
      <c r="T1" s="14" t="s">
        <v>27</v>
      </c>
    </row>
    <row r="2" spans="1:20" x14ac:dyDescent="0.35">
      <c r="A2" t="s">
        <v>8</v>
      </c>
      <c r="B2" t="s">
        <v>9</v>
      </c>
      <c r="C2" s="3">
        <v>45113</v>
      </c>
      <c r="E2" t="s">
        <v>16</v>
      </c>
      <c r="F2" s="6">
        <v>2027</v>
      </c>
      <c r="G2" s="8">
        <v>40.22</v>
      </c>
      <c r="J2" s="10">
        <f>F2*G2+H2+I2+K3</f>
        <v>59251.94</v>
      </c>
    </row>
    <row r="3" spans="1:20" x14ac:dyDescent="0.35">
      <c r="C3" s="3">
        <v>45149</v>
      </c>
      <c r="E3" t="s">
        <v>16</v>
      </c>
      <c r="F3" s="6">
        <f>K3/G3</f>
        <v>-566.04828462515877</v>
      </c>
      <c r="G3" s="8">
        <v>39.35</v>
      </c>
      <c r="J3" s="10">
        <f>F3*G3+H3+I3+K4</f>
        <v>-22274</v>
      </c>
      <c r="K3" s="10">
        <v>-22274</v>
      </c>
      <c r="L3" s="10" t="s">
        <v>49</v>
      </c>
    </row>
    <row r="4" spans="1:20" x14ac:dyDescent="0.35">
      <c r="B4" t="s">
        <v>9</v>
      </c>
      <c r="C4" s="3">
        <v>45149</v>
      </c>
      <c r="E4" t="s">
        <v>16</v>
      </c>
      <c r="F4" s="6">
        <f>F2+F3</f>
        <v>1460.9517153748411</v>
      </c>
      <c r="G4" s="8">
        <f>G3</f>
        <v>39.35</v>
      </c>
      <c r="J4" s="10">
        <f t="shared" ref="J4:J24" si="0">F4*G4+H4+I4+K4</f>
        <v>57488.45</v>
      </c>
      <c r="L4" s="12" t="s">
        <v>50</v>
      </c>
    </row>
    <row r="5" spans="1:20" x14ac:dyDescent="0.35">
      <c r="C5" s="3">
        <v>45250</v>
      </c>
      <c r="E5" t="s">
        <v>16</v>
      </c>
      <c r="F5" s="6">
        <v>2497</v>
      </c>
      <c r="G5" s="8">
        <v>44.6</v>
      </c>
      <c r="J5" s="10">
        <f t="shared" si="0"/>
        <v>111366.2</v>
      </c>
    </row>
    <row r="6" spans="1:20" x14ac:dyDescent="0.35">
      <c r="C6" s="3">
        <v>45274</v>
      </c>
      <c r="E6" t="s">
        <v>16</v>
      </c>
      <c r="F6" s="6">
        <v>2569</v>
      </c>
      <c r="G6" s="8">
        <v>48.66</v>
      </c>
      <c r="J6" s="10">
        <f t="shared" si="0"/>
        <v>125007.54</v>
      </c>
    </row>
    <row r="7" spans="1:20" x14ac:dyDescent="0.35">
      <c r="C7" s="3">
        <v>45279</v>
      </c>
      <c r="E7" t="s">
        <v>16</v>
      </c>
      <c r="F7" s="6">
        <v>2592</v>
      </c>
      <c r="G7" s="8">
        <v>50.02</v>
      </c>
      <c r="J7" s="10">
        <f t="shared" si="0"/>
        <v>129651.84000000001</v>
      </c>
    </row>
    <row r="8" spans="1:20" x14ac:dyDescent="0.35">
      <c r="B8" s="20" t="s">
        <v>65</v>
      </c>
      <c r="C8" s="22">
        <v>45572</v>
      </c>
      <c r="D8" s="13"/>
      <c r="E8" s="1" t="s">
        <v>16</v>
      </c>
      <c r="F8" s="11">
        <v>100</v>
      </c>
      <c r="G8" s="19">
        <v>69.599999999999994</v>
      </c>
      <c r="H8" s="17"/>
      <c r="I8" s="17"/>
      <c r="J8" s="12">
        <f>F8*G8+H8+I8</f>
        <v>6959.9999999999991</v>
      </c>
      <c r="K8" s="10">
        <f>-14000-71000</f>
        <v>-85000</v>
      </c>
      <c r="L8" s="10" t="s">
        <v>70</v>
      </c>
      <c r="M8" s="10" t="s">
        <v>71</v>
      </c>
      <c r="N8" t="s">
        <v>72</v>
      </c>
    </row>
    <row r="9" spans="1:20" x14ac:dyDescent="0.35">
      <c r="K9" s="10">
        <v>-3500</v>
      </c>
      <c r="L9" s="10" t="s">
        <v>75</v>
      </c>
    </row>
    <row r="10" spans="1:20" x14ac:dyDescent="0.35">
      <c r="B10" s="1" t="s">
        <v>68</v>
      </c>
      <c r="C10" s="13">
        <f>C8</f>
        <v>45572</v>
      </c>
      <c r="D10" s="4" t="s">
        <v>20</v>
      </c>
      <c r="E10" s="1" t="s">
        <v>73</v>
      </c>
      <c r="F10" s="11">
        <v>60</v>
      </c>
      <c r="G10" s="19">
        <v>36.409999999999997</v>
      </c>
      <c r="H10" s="17"/>
      <c r="I10" s="17"/>
      <c r="J10" s="12">
        <f>F10*G10+H10+I10</f>
        <v>2184.6</v>
      </c>
      <c r="K10" s="12">
        <v>-105759</v>
      </c>
      <c r="L10" s="10" t="s">
        <v>69</v>
      </c>
    </row>
    <row r="11" spans="1:20" x14ac:dyDescent="0.35">
      <c r="D11" s="3" t="s">
        <v>9</v>
      </c>
      <c r="E11" s="1" t="s">
        <v>74</v>
      </c>
      <c r="F11" s="23">
        <v>7030</v>
      </c>
      <c r="G11" s="19">
        <v>58.57</v>
      </c>
      <c r="J11" s="10">
        <f t="shared" si="0"/>
        <v>411747.1</v>
      </c>
    </row>
    <row r="12" spans="1:20" x14ac:dyDescent="0.35">
      <c r="D12" s="3" t="s">
        <v>29</v>
      </c>
      <c r="E12" t="s">
        <v>74</v>
      </c>
      <c r="F12" s="23">
        <v>7809</v>
      </c>
      <c r="G12" s="8">
        <f>G11</f>
        <v>58.57</v>
      </c>
      <c r="J12" s="10">
        <f t="shared" si="0"/>
        <v>457373.13</v>
      </c>
    </row>
    <row r="13" spans="1:20" x14ac:dyDescent="0.35">
      <c r="D13" s="3" t="s">
        <v>30</v>
      </c>
      <c r="E13" s="1" t="s">
        <v>74</v>
      </c>
      <c r="F13" s="23">
        <v>1260</v>
      </c>
      <c r="G13" s="8">
        <f>G11</f>
        <v>58.57</v>
      </c>
      <c r="J13" s="10">
        <f t="shared" si="0"/>
        <v>73798.2</v>
      </c>
    </row>
    <row r="14" spans="1:20" x14ac:dyDescent="0.35">
      <c r="J14" s="10">
        <f t="shared" si="0"/>
        <v>0</v>
      </c>
    </row>
    <row r="15" spans="1:20" x14ac:dyDescent="0.35">
      <c r="E15" s="1"/>
      <c r="F15" s="11"/>
      <c r="J15" s="12"/>
    </row>
    <row r="16" spans="1:20" x14ac:dyDescent="0.35">
      <c r="A16" s="47" t="s">
        <v>34</v>
      </c>
      <c r="B16" s="47"/>
      <c r="C16" s="47"/>
      <c r="D16" s="47"/>
      <c r="E16" s="47"/>
      <c r="F16" s="47"/>
      <c r="G16" s="47"/>
      <c r="H16" s="47"/>
      <c r="I16" s="47"/>
      <c r="J16" s="47"/>
    </row>
    <row r="17" spans="1:21" x14ac:dyDescent="0.35">
      <c r="A17" s="2" t="s">
        <v>6</v>
      </c>
      <c r="B17" s="2" t="s">
        <v>7</v>
      </c>
      <c r="C17" s="4" t="s">
        <v>0</v>
      </c>
      <c r="D17" s="4"/>
      <c r="E17" s="2" t="s">
        <v>2</v>
      </c>
      <c r="F17" s="5" t="s">
        <v>1</v>
      </c>
      <c r="G17" s="7" t="s">
        <v>17</v>
      </c>
      <c r="H17" s="7" t="s">
        <v>5</v>
      </c>
      <c r="I17" s="7" t="s">
        <v>19</v>
      </c>
      <c r="J17" s="9" t="s">
        <v>3</v>
      </c>
    </row>
    <row r="18" spans="1:21" s="10" customFormat="1" x14ac:dyDescent="0.35">
      <c r="A18" s="1" t="s">
        <v>8</v>
      </c>
      <c r="B18" s="1" t="s">
        <v>29</v>
      </c>
      <c r="C18" s="3">
        <f>$C$8</f>
        <v>45572</v>
      </c>
      <c r="D18" s="3"/>
      <c r="E18" t="s">
        <v>16</v>
      </c>
      <c r="F18" s="6">
        <v>170</v>
      </c>
      <c r="G18" s="8">
        <f>$G$8</f>
        <v>69.599999999999994</v>
      </c>
      <c r="H18" s="8"/>
      <c r="I18" s="8"/>
      <c r="J18" s="10">
        <f t="shared" si="0"/>
        <v>11831.999999999998</v>
      </c>
      <c r="N18"/>
      <c r="O18" s="3"/>
      <c r="P18" s="8"/>
      <c r="Q18" s="8"/>
      <c r="R18" s="8"/>
      <c r="S18" s="15"/>
      <c r="T18" s="15"/>
      <c r="U18"/>
    </row>
    <row r="19" spans="1:21" s="10" customFormat="1" x14ac:dyDescent="0.35">
      <c r="A19" s="1" t="s">
        <v>8</v>
      </c>
      <c r="B19" s="1" t="s">
        <v>30</v>
      </c>
      <c r="C19" s="3">
        <f t="shared" ref="C19:C25" si="1">$C$8</f>
        <v>45572</v>
      </c>
      <c r="D19" s="3"/>
      <c r="E19" t="s">
        <v>16</v>
      </c>
      <c r="F19" s="6">
        <v>90</v>
      </c>
      <c r="G19" s="8">
        <f t="shared" ref="G19:G26" si="2">$G$8</f>
        <v>69.599999999999994</v>
      </c>
      <c r="H19" s="8"/>
      <c r="I19" s="8"/>
      <c r="J19" s="10">
        <f t="shared" si="0"/>
        <v>6263.9999999999991</v>
      </c>
      <c r="N19"/>
      <c r="O19" s="3"/>
      <c r="P19" s="8"/>
      <c r="Q19" s="8"/>
      <c r="R19" s="8"/>
      <c r="S19" s="15"/>
      <c r="T19" s="15"/>
      <c r="U19"/>
    </row>
    <row r="20" spans="1:21" s="10" customFormat="1" x14ac:dyDescent="0.35">
      <c r="A20" t="s">
        <v>8</v>
      </c>
      <c r="B20" s="1" t="s">
        <v>12</v>
      </c>
      <c r="C20" s="3">
        <f t="shared" si="1"/>
        <v>45572</v>
      </c>
      <c r="D20" s="3"/>
      <c r="E20" t="s">
        <v>16</v>
      </c>
      <c r="F20" s="6">
        <v>114</v>
      </c>
      <c r="G20" s="8">
        <f t="shared" si="2"/>
        <v>69.599999999999994</v>
      </c>
      <c r="H20" s="8"/>
      <c r="I20" s="8"/>
      <c r="J20" s="12">
        <f t="shared" si="0"/>
        <v>7934.4</v>
      </c>
      <c r="N20"/>
      <c r="O20" s="3"/>
      <c r="P20" s="8"/>
      <c r="Q20" s="8"/>
      <c r="R20" s="8"/>
      <c r="S20" s="15"/>
      <c r="T20" s="15"/>
      <c r="U20"/>
    </row>
    <row r="21" spans="1:21" x14ac:dyDescent="0.35">
      <c r="A21" t="s">
        <v>8</v>
      </c>
      <c r="B21" s="1" t="s">
        <v>13</v>
      </c>
      <c r="C21" s="3">
        <f t="shared" si="1"/>
        <v>45572</v>
      </c>
      <c r="E21" t="s">
        <v>16</v>
      </c>
      <c r="F21" s="6">
        <v>660</v>
      </c>
      <c r="G21" s="8">
        <f t="shared" si="2"/>
        <v>69.599999999999994</v>
      </c>
      <c r="J21" s="12">
        <f t="shared" si="0"/>
        <v>45935.999999999993</v>
      </c>
    </row>
    <row r="22" spans="1:21" x14ac:dyDescent="0.35">
      <c r="A22" t="s">
        <v>8</v>
      </c>
      <c r="B22" t="s">
        <v>66</v>
      </c>
      <c r="C22" s="3">
        <f t="shared" si="1"/>
        <v>45572</v>
      </c>
      <c r="E22" t="s">
        <v>16</v>
      </c>
      <c r="F22" s="21">
        <v>2017</v>
      </c>
      <c r="G22" s="8">
        <f t="shared" si="2"/>
        <v>69.599999999999994</v>
      </c>
      <c r="J22" s="10">
        <f t="shared" si="0"/>
        <v>140383.19999999998</v>
      </c>
    </row>
    <row r="23" spans="1:21" x14ac:dyDescent="0.35">
      <c r="A23" t="s">
        <v>8</v>
      </c>
      <c r="B23" t="s">
        <v>36</v>
      </c>
      <c r="C23" s="3">
        <f t="shared" si="1"/>
        <v>45572</v>
      </c>
      <c r="E23" t="s">
        <v>16</v>
      </c>
      <c r="F23" s="21">
        <v>394</v>
      </c>
      <c r="G23" s="8">
        <f t="shared" si="2"/>
        <v>69.599999999999994</v>
      </c>
      <c r="J23" s="10">
        <f t="shared" si="0"/>
        <v>27422.399999999998</v>
      </c>
    </row>
    <row r="24" spans="1:21" x14ac:dyDescent="0.35">
      <c r="A24" t="s">
        <v>28</v>
      </c>
      <c r="B24" t="s">
        <v>67</v>
      </c>
      <c r="C24" s="3">
        <f t="shared" si="1"/>
        <v>45572</v>
      </c>
      <c r="E24" t="s">
        <v>16</v>
      </c>
      <c r="F24" s="21">
        <v>1316</v>
      </c>
      <c r="G24" s="8">
        <f t="shared" si="2"/>
        <v>69.599999999999994</v>
      </c>
      <c r="J24" s="10">
        <f t="shared" si="0"/>
        <v>41593.599999999991</v>
      </c>
      <c r="K24" s="12">
        <v>-50000</v>
      </c>
      <c r="L24" s="12" t="s">
        <v>46</v>
      </c>
    </row>
    <row r="25" spans="1:21" x14ac:dyDescent="0.35">
      <c r="A25" s="1" t="s">
        <v>8</v>
      </c>
      <c r="B25" s="1" t="s">
        <v>55</v>
      </c>
      <c r="C25" s="3">
        <f t="shared" si="1"/>
        <v>45572</v>
      </c>
      <c r="E25" t="s">
        <v>16</v>
      </c>
      <c r="F25" s="6">
        <v>244</v>
      </c>
      <c r="G25" s="8">
        <f t="shared" si="2"/>
        <v>69.599999999999994</v>
      </c>
      <c r="J25" s="10">
        <f>F25*G25+H25+I25+K25</f>
        <v>16982.399999999998</v>
      </c>
    </row>
    <row r="26" spans="1:21" x14ac:dyDescent="0.35">
      <c r="E26" s="1" t="s">
        <v>20</v>
      </c>
      <c r="F26" s="11">
        <f>SUM(F18:F25)</f>
        <v>5005</v>
      </c>
      <c r="G26" s="8">
        <f t="shared" si="2"/>
        <v>69.599999999999994</v>
      </c>
      <c r="J26" s="12">
        <f>F26*G26</f>
        <v>348348</v>
      </c>
    </row>
    <row r="28" spans="1:21" s="1" customFormat="1" x14ac:dyDescent="0.35">
      <c r="A28" s="1" t="s">
        <v>53</v>
      </c>
      <c r="B28" s="1" t="s">
        <v>62</v>
      </c>
      <c r="C28" s="13">
        <f>C8</f>
        <v>45572</v>
      </c>
      <c r="D28" s="13"/>
      <c r="E28" s="1" t="s">
        <v>20</v>
      </c>
      <c r="F28" s="11">
        <f>F18+F19+F25</f>
        <v>504</v>
      </c>
      <c r="G28" s="17">
        <f>G8</f>
        <v>69.599999999999994</v>
      </c>
      <c r="H28" s="17"/>
      <c r="I28" s="17"/>
      <c r="J28" s="12">
        <f>F28*G28+H28+I28+K28</f>
        <v>35078.399999999994</v>
      </c>
      <c r="K28" s="12"/>
      <c r="L28" s="12"/>
      <c r="M28" s="12"/>
      <c r="O28" s="13"/>
      <c r="P28" s="17"/>
      <c r="Q28" s="17"/>
      <c r="R28" s="17"/>
      <c r="S28" s="18"/>
      <c r="T28" s="18"/>
    </row>
    <row r="30" spans="1:21" s="10" customFormat="1" x14ac:dyDescent="0.35">
      <c r="A30"/>
      <c r="B30"/>
      <c r="C30" s="3"/>
      <c r="D30" s="3"/>
      <c r="E30"/>
      <c r="F30" s="6"/>
      <c r="G30" s="8"/>
      <c r="H30" s="8"/>
      <c r="I30" s="8" t="s">
        <v>59</v>
      </c>
      <c r="J30" s="12">
        <v>2442256</v>
      </c>
      <c r="K30" s="12" t="s">
        <v>64</v>
      </c>
      <c r="N30"/>
      <c r="O30" s="3"/>
      <c r="P30" s="8"/>
      <c r="Q30" s="8"/>
      <c r="R30" s="8"/>
      <c r="S30" s="15"/>
      <c r="T30" s="15"/>
      <c r="U30"/>
    </row>
    <row r="31" spans="1:21" s="10" customFormat="1" x14ac:dyDescent="0.35">
      <c r="A31"/>
      <c r="B31"/>
      <c r="C31" s="3"/>
      <c r="D31" s="3"/>
      <c r="E31"/>
      <c r="F31" s="6"/>
      <c r="G31" s="8"/>
      <c r="H31" s="8"/>
      <c r="I31" s="8" t="s">
        <v>20</v>
      </c>
      <c r="J31" s="10">
        <f>J30+J33</f>
        <v>3548408.03</v>
      </c>
      <c r="N31"/>
      <c r="O31" s="3"/>
      <c r="P31" s="8"/>
      <c r="Q31" s="8"/>
      <c r="R31" s="8"/>
      <c r="S31" s="15"/>
      <c r="T31" s="15"/>
      <c r="U31"/>
    </row>
    <row r="33" spans="8:11" x14ac:dyDescent="0.35">
      <c r="H33" s="48" t="s">
        <v>60</v>
      </c>
      <c r="I33" s="48"/>
      <c r="J33" s="10">
        <f>J26+SUM(J8:J14)+SUM(K8:K14)</f>
        <v>1106152.0299999998</v>
      </c>
    </row>
    <row r="34" spans="8:11" x14ac:dyDescent="0.35">
      <c r="H34" s="48" t="s">
        <v>61</v>
      </c>
      <c r="I34" s="48"/>
      <c r="J34" s="16">
        <f>J28+SUM(J8:J14)+SUM(K8:K14)</f>
        <v>792882.42999999993</v>
      </c>
    </row>
    <row r="37" spans="8:11" x14ac:dyDescent="0.35">
      <c r="I37" s="8" t="s">
        <v>59</v>
      </c>
      <c r="J37" s="12">
        <v>2388456</v>
      </c>
      <c r="K37" s="10" t="s">
        <v>63</v>
      </c>
    </row>
  </sheetData>
  <mergeCells count="3">
    <mergeCell ref="A16:J16"/>
    <mergeCell ref="H34:I34"/>
    <mergeCell ref="H33:I3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FCD7-97EB-4936-A0AC-60E758004F7D}">
  <dimension ref="B2:G8"/>
  <sheetViews>
    <sheetView workbookViewId="0">
      <selection activeCell="H19" sqref="H19"/>
    </sheetView>
  </sheetViews>
  <sheetFormatPr defaultRowHeight="14.5" x14ac:dyDescent="0.35"/>
  <cols>
    <col min="2" max="2" width="9.81640625" style="2" customWidth="1"/>
    <col min="3" max="3" width="11.1796875" style="8" customWidth="1"/>
    <col min="4" max="4" width="13.1796875" style="8" customWidth="1"/>
    <col min="5" max="5" width="13.6328125" style="29" customWidth="1"/>
    <col min="6" max="6" width="19.453125" style="29" customWidth="1"/>
  </cols>
  <sheetData>
    <row r="2" spans="2:7" x14ac:dyDescent="0.35">
      <c r="B2" s="49" t="s">
        <v>76</v>
      </c>
      <c r="C2" s="49"/>
      <c r="D2" s="49"/>
      <c r="E2" s="49"/>
      <c r="F2" s="49"/>
      <c r="G2" s="49"/>
    </row>
    <row r="3" spans="2:7" x14ac:dyDescent="0.35">
      <c r="C3" s="26"/>
      <c r="D3" s="26"/>
      <c r="E3" s="27"/>
      <c r="F3" s="27"/>
      <c r="G3" s="25"/>
    </row>
    <row r="4" spans="2:7" s="2" customFormat="1" x14ac:dyDescent="0.35">
      <c r="C4" s="7" t="s">
        <v>80</v>
      </c>
      <c r="D4" s="7" t="s">
        <v>81</v>
      </c>
      <c r="E4" s="28" t="s">
        <v>82</v>
      </c>
      <c r="F4" s="28" t="s">
        <v>83</v>
      </c>
    </row>
    <row r="5" spans="2:7" x14ac:dyDescent="0.35">
      <c r="B5" s="2" t="s">
        <v>77</v>
      </c>
      <c r="C5" s="8">
        <v>3169</v>
      </c>
      <c r="D5" s="8">
        <v>4256</v>
      </c>
      <c r="E5" s="29">
        <f>D5/C5-1</f>
        <v>0.34301041337961502</v>
      </c>
    </row>
    <row r="6" spans="2:7" x14ac:dyDescent="0.35">
      <c r="B6" s="2" t="s">
        <v>78</v>
      </c>
      <c r="C6" s="8">
        <v>22.88</v>
      </c>
      <c r="D6" s="8">
        <v>30.32</v>
      </c>
      <c r="E6" s="29">
        <f t="shared" ref="E6:E8" si="0">D6/C6-1</f>
        <v>0.32517482517482521</v>
      </c>
      <c r="F6" s="29">
        <v>-0.14599999999999999</v>
      </c>
    </row>
    <row r="7" spans="2:7" x14ac:dyDescent="0.35">
      <c r="B7" s="2" t="s">
        <v>79</v>
      </c>
      <c r="C7" s="8">
        <v>12.04</v>
      </c>
      <c r="D7" s="8">
        <v>19.82</v>
      </c>
      <c r="E7" s="29">
        <f t="shared" si="0"/>
        <v>0.64617940199335555</v>
      </c>
      <c r="F7" s="29">
        <v>-0.29099999999999998</v>
      </c>
    </row>
    <row r="8" spans="2:7" x14ac:dyDescent="0.35">
      <c r="B8" s="2" t="s">
        <v>74</v>
      </c>
      <c r="C8" s="8">
        <v>20.21</v>
      </c>
      <c r="D8" s="8">
        <v>38.869999999999997</v>
      </c>
      <c r="E8" s="29">
        <f t="shared" si="0"/>
        <v>0.92330529440870834</v>
      </c>
      <c r="F8" s="29">
        <v>-0.34200000000000003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V101"/>
  <sheetViews>
    <sheetView topLeftCell="A91" workbookViewId="0">
      <selection activeCell="G87" sqref="G87"/>
    </sheetView>
  </sheetViews>
  <sheetFormatPr defaultRowHeight="14.5" x14ac:dyDescent="0.35"/>
  <cols>
    <col min="3" max="3" width="30.81640625" customWidth="1"/>
    <col min="4" max="4" width="11.54296875" style="3" customWidth="1"/>
    <col min="5" max="5" width="10.81640625" style="3" bestFit="1" customWidth="1"/>
    <col min="7" max="7" width="8.81640625" style="6"/>
    <col min="8" max="8" width="12.81640625" style="8" customWidth="1"/>
    <col min="9" max="9" width="8.81640625" style="8"/>
    <col min="10" max="10" width="11.1796875" style="8" customWidth="1"/>
    <col min="11" max="11" width="13.81640625" style="10" customWidth="1"/>
    <col min="12" max="12" width="25.54296875" style="10" bestFit="1" customWidth="1"/>
    <col min="13" max="13" width="34.54296875" style="10" customWidth="1"/>
    <col min="14" max="14" width="12.1796875" style="10" customWidth="1"/>
    <col min="15" max="15" width="30.81640625" bestFit="1" customWidth="1"/>
    <col min="16" max="16" width="9.54296875" style="3" bestFit="1" customWidth="1"/>
    <col min="17" max="19" width="8.81640625" style="8"/>
    <col min="20" max="20" width="15.08984375" style="15" bestFit="1" customWidth="1"/>
    <col min="21" max="21" width="17.81640625" style="15" bestFit="1" customWidth="1"/>
  </cols>
  <sheetData>
    <row r="3" spans="2:21" s="2" customFormat="1" x14ac:dyDescent="0.35">
      <c r="B3" s="2" t="s">
        <v>6</v>
      </c>
      <c r="C3" s="2" t="s">
        <v>7</v>
      </c>
      <c r="D3" s="4" t="s">
        <v>0</v>
      </c>
      <c r="E3" s="4" t="s">
        <v>14</v>
      </c>
      <c r="F3" s="2" t="s">
        <v>2</v>
      </c>
      <c r="G3" s="5" t="s">
        <v>1</v>
      </c>
      <c r="H3" s="7" t="s">
        <v>17</v>
      </c>
      <c r="I3" s="7" t="s">
        <v>5</v>
      </c>
      <c r="J3" s="7" t="s">
        <v>19</v>
      </c>
      <c r="K3" s="9" t="s">
        <v>3</v>
      </c>
      <c r="L3" s="9" t="s">
        <v>4</v>
      </c>
      <c r="M3" s="9" t="s">
        <v>45</v>
      </c>
      <c r="N3" s="9" t="s">
        <v>44</v>
      </c>
      <c r="O3" s="2" t="s">
        <v>24</v>
      </c>
      <c r="P3" s="4" t="s">
        <v>0</v>
      </c>
      <c r="Q3" s="7" t="s">
        <v>21</v>
      </c>
      <c r="R3" s="7" t="s">
        <v>22</v>
      </c>
      <c r="S3" s="7" t="s">
        <v>23</v>
      </c>
      <c r="T3" s="14" t="s">
        <v>26</v>
      </c>
      <c r="U3" s="14" t="s">
        <v>27</v>
      </c>
    </row>
    <row r="4" spans="2:21" x14ac:dyDescent="0.35">
      <c r="B4" t="s">
        <v>8</v>
      </c>
      <c r="C4" t="s">
        <v>9</v>
      </c>
      <c r="D4" s="3">
        <v>45090</v>
      </c>
      <c r="F4" t="s">
        <v>16</v>
      </c>
      <c r="G4" s="6">
        <v>2256</v>
      </c>
      <c r="H4" s="8">
        <v>39.229999999999997</v>
      </c>
      <c r="K4" s="10">
        <f>G4*H4+I4+J4+L4</f>
        <v>66908.87999999999</v>
      </c>
      <c r="L4" s="10">
        <f xml:space="preserve"> - 500 * 36.15 - 90 * 39.1</f>
        <v>-21594</v>
      </c>
      <c r="O4" t="s">
        <v>25</v>
      </c>
      <c r="P4" s="3">
        <v>44531</v>
      </c>
      <c r="R4" s="8">
        <v>397.85</v>
      </c>
    </row>
    <row r="5" spans="2:21" x14ac:dyDescent="0.35">
      <c r="D5" s="3">
        <v>45091</v>
      </c>
      <c r="E5" s="3" t="s">
        <v>18</v>
      </c>
      <c r="F5" t="s">
        <v>16</v>
      </c>
      <c r="G5" s="6">
        <v>-500</v>
      </c>
      <c r="H5" s="8">
        <v>39.31</v>
      </c>
      <c r="O5" t="s">
        <v>25</v>
      </c>
      <c r="P5" s="3">
        <v>44896</v>
      </c>
      <c r="Q5" s="8">
        <v>266.27999999999997</v>
      </c>
      <c r="T5" s="15">
        <f>1-Q5/R4</f>
        <v>0.33070252607766759</v>
      </c>
    </row>
    <row r="6" spans="2:21" x14ac:dyDescent="0.35">
      <c r="D6" s="3">
        <v>45091</v>
      </c>
      <c r="E6" s="3" t="s">
        <v>15</v>
      </c>
      <c r="F6" t="s">
        <v>16</v>
      </c>
      <c r="G6" s="6">
        <v>20</v>
      </c>
      <c r="H6" s="8">
        <v>40.1</v>
      </c>
      <c r="O6" t="s">
        <v>16</v>
      </c>
      <c r="P6" s="3">
        <v>44531</v>
      </c>
      <c r="R6" s="8">
        <v>83.17</v>
      </c>
    </row>
    <row r="7" spans="2:21" x14ac:dyDescent="0.35">
      <c r="D7" s="3">
        <v>45091</v>
      </c>
      <c r="E7" s="3" t="s">
        <v>5</v>
      </c>
      <c r="I7" s="8">
        <v>3100</v>
      </c>
      <c r="K7" s="10">
        <v>71768</v>
      </c>
      <c r="O7" t="s">
        <v>16</v>
      </c>
      <c r="P7" s="3">
        <v>44896</v>
      </c>
      <c r="Q7" s="8">
        <v>17.3</v>
      </c>
      <c r="T7" s="15">
        <f>1-Q7/R6</f>
        <v>0.7919923049176385</v>
      </c>
    </row>
    <row r="8" spans="2:21" x14ac:dyDescent="0.35">
      <c r="D8" s="13">
        <v>45091</v>
      </c>
      <c r="G8" s="6">
        <f>SUM(G4:G6)</f>
        <v>1776</v>
      </c>
      <c r="H8" s="8">
        <v>40.19</v>
      </c>
      <c r="K8" s="12">
        <f t="shared" ref="K8:K85" si="0">G8*H8+I8+J8+L8</f>
        <v>71377.440000000002</v>
      </c>
      <c r="O8" t="s">
        <v>25</v>
      </c>
      <c r="P8" s="3">
        <v>45092</v>
      </c>
      <c r="S8" s="8">
        <v>370.75</v>
      </c>
      <c r="U8" s="15">
        <f>S8/Q5-1</f>
        <v>0.39233138050172767</v>
      </c>
    </row>
    <row r="9" spans="2:21" x14ac:dyDescent="0.35">
      <c r="D9" s="3">
        <v>45092</v>
      </c>
      <c r="F9" t="s">
        <v>16</v>
      </c>
      <c r="G9" s="6">
        <f>G8+600</f>
        <v>2376</v>
      </c>
      <c r="H9" s="8">
        <v>40.98</v>
      </c>
      <c r="J9" s="8">
        <v>394</v>
      </c>
      <c r="K9" s="10">
        <f t="shared" si="0"/>
        <v>74146.48</v>
      </c>
      <c r="L9" s="10">
        <f>-600 * 39.36</f>
        <v>-23616</v>
      </c>
      <c r="O9" t="s">
        <v>16</v>
      </c>
      <c r="P9" s="3">
        <v>45092</v>
      </c>
      <c r="S9" s="8">
        <v>41.85</v>
      </c>
      <c r="U9" s="15">
        <f>S9/Q7-1</f>
        <v>1.4190751445086707</v>
      </c>
    </row>
    <row r="10" spans="2:21" x14ac:dyDescent="0.35">
      <c r="D10" s="3">
        <v>45106</v>
      </c>
      <c r="E10" s="3" t="s">
        <v>5</v>
      </c>
      <c r="I10" s="8">
        <v>1000</v>
      </c>
      <c r="K10" s="10">
        <f t="shared" si="0"/>
        <v>1000</v>
      </c>
    </row>
    <row r="11" spans="2:21" x14ac:dyDescent="0.35">
      <c r="D11" s="3">
        <v>45106</v>
      </c>
      <c r="F11" t="s">
        <v>33</v>
      </c>
      <c r="G11" s="6">
        <v>-280</v>
      </c>
      <c r="H11" s="8">
        <v>259.8</v>
      </c>
      <c r="K11" s="10">
        <f t="shared" si="0"/>
        <v>-72744</v>
      </c>
    </row>
    <row r="12" spans="2:21" x14ac:dyDescent="0.35">
      <c r="D12" s="3">
        <v>45107</v>
      </c>
      <c r="F12" t="s">
        <v>16</v>
      </c>
      <c r="G12" s="6">
        <v>1834</v>
      </c>
      <c r="H12" s="8">
        <v>41.18</v>
      </c>
      <c r="J12" s="8">
        <v>810</v>
      </c>
      <c r="K12" s="10">
        <f t="shared" si="0"/>
        <v>76334.12</v>
      </c>
    </row>
    <row r="13" spans="2:21" x14ac:dyDescent="0.35">
      <c r="D13" s="3">
        <v>45107</v>
      </c>
      <c r="F13" t="s">
        <v>33</v>
      </c>
      <c r="G13" s="6">
        <v>280</v>
      </c>
      <c r="H13" s="8">
        <v>263.82</v>
      </c>
      <c r="J13" s="8">
        <f>K12</f>
        <v>76334.12</v>
      </c>
      <c r="K13" s="10">
        <f t="shared" si="0"/>
        <v>77459.719999999972</v>
      </c>
      <c r="L13" s="10">
        <f>K11</f>
        <v>-72744</v>
      </c>
    </row>
    <row r="14" spans="2:21" x14ac:dyDescent="0.35">
      <c r="K14" s="10">
        <f t="shared" si="0"/>
        <v>0</v>
      </c>
    </row>
    <row r="15" spans="2:21" x14ac:dyDescent="0.35">
      <c r="B15" t="s">
        <v>37</v>
      </c>
      <c r="C15" t="s">
        <v>40</v>
      </c>
      <c r="D15" s="3">
        <v>45047</v>
      </c>
      <c r="E15" s="3" t="s">
        <v>39</v>
      </c>
      <c r="K15" s="10">
        <f t="shared" si="0"/>
        <v>-50000</v>
      </c>
      <c r="L15" s="10">
        <v>-50000</v>
      </c>
    </row>
    <row r="16" spans="2:21" x14ac:dyDescent="0.35">
      <c r="D16" s="3">
        <v>45047</v>
      </c>
      <c r="E16" s="3" t="s">
        <v>38</v>
      </c>
      <c r="K16" s="10">
        <f t="shared" si="0"/>
        <v>-1500</v>
      </c>
      <c r="L16" s="10">
        <v>-1500</v>
      </c>
    </row>
    <row r="17" spans="2:14" x14ac:dyDescent="0.35">
      <c r="D17" s="3">
        <v>45054</v>
      </c>
      <c r="E17" s="3" t="s">
        <v>39</v>
      </c>
      <c r="K17" s="10">
        <f t="shared" si="0"/>
        <v>-15000</v>
      </c>
      <c r="L17" s="10">
        <v>-15000</v>
      </c>
    </row>
    <row r="18" spans="2:14" x14ac:dyDescent="0.35">
      <c r="D18" s="3">
        <v>45054</v>
      </c>
      <c r="E18" s="3" t="s">
        <v>38</v>
      </c>
      <c r="K18" s="10">
        <f t="shared" si="0"/>
        <v>-450</v>
      </c>
      <c r="L18" s="10">
        <v>-450</v>
      </c>
    </row>
    <row r="19" spans="2:14" x14ac:dyDescent="0.35">
      <c r="D19" s="3">
        <v>45076</v>
      </c>
      <c r="E19" s="3" t="s">
        <v>39</v>
      </c>
      <c r="K19" s="10">
        <f t="shared" si="0"/>
        <v>-6000</v>
      </c>
      <c r="L19" s="10">
        <v>-6000</v>
      </c>
    </row>
    <row r="20" spans="2:14" x14ac:dyDescent="0.35">
      <c r="D20" s="3">
        <v>45076</v>
      </c>
      <c r="E20" s="3" t="s">
        <v>38</v>
      </c>
      <c r="K20" s="10">
        <f t="shared" si="0"/>
        <v>-180</v>
      </c>
      <c r="L20" s="10">
        <v>-180</v>
      </c>
    </row>
    <row r="21" spans="2:14" x14ac:dyDescent="0.35">
      <c r="B21" t="s">
        <v>37</v>
      </c>
      <c r="C21" t="s">
        <v>41</v>
      </c>
      <c r="D21" s="3">
        <v>45065</v>
      </c>
      <c r="E21" s="3" t="s">
        <v>39</v>
      </c>
      <c r="K21" s="10">
        <f t="shared" si="0"/>
        <v>-14000</v>
      </c>
      <c r="L21" s="10">
        <v>-14000</v>
      </c>
    </row>
    <row r="22" spans="2:14" x14ac:dyDescent="0.35">
      <c r="D22" s="3">
        <v>45065</v>
      </c>
      <c r="E22" s="3" t="s">
        <v>38</v>
      </c>
      <c r="K22" s="10">
        <f t="shared" si="0"/>
        <v>-420</v>
      </c>
      <c r="L22" s="10">
        <v>-420</v>
      </c>
      <c r="M22" s="12" t="s">
        <v>42</v>
      </c>
      <c r="N22" s="16">
        <f>SUM(L15:L22)</f>
        <v>-87550</v>
      </c>
    </row>
    <row r="23" spans="2:14" x14ac:dyDescent="0.35">
      <c r="K23" s="10">
        <f t="shared" si="0"/>
        <v>0</v>
      </c>
      <c r="M23" s="16" t="s">
        <v>43</v>
      </c>
    </row>
    <row r="24" spans="2:14" x14ac:dyDescent="0.35">
      <c r="B24" t="s">
        <v>8</v>
      </c>
      <c r="C24" t="s">
        <v>9</v>
      </c>
      <c r="D24" s="3">
        <v>45113</v>
      </c>
      <c r="F24" t="s">
        <v>16</v>
      </c>
      <c r="G24" s="6">
        <v>2027</v>
      </c>
      <c r="H24" s="8">
        <v>40.22</v>
      </c>
      <c r="K24" s="10">
        <f>G24*H24+I24+J24+L25</f>
        <v>103799.94</v>
      </c>
    </row>
    <row r="25" spans="2:14" x14ac:dyDescent="0.35">
      <c r="D25" s="3">
        <v>45149</v>
      </c>
      <c r="F25" t="s">
        <v>16</v>
      </c>
      <c r="G25" s="6">
        <f>L25/H25</f>
        <v>566.04828462515877</v>
      </c>
      <c r="H25" s="8">
        <v>39.35</v>
      </c>
      <c r="K25" s="10">
        <f>G25*H25+I25+J25+L26</f>
        <v>22274</v>
      </c>
      <c r="L25" s="10">
        <v>22274</v>
      </c>
      <c r="M25" s="10" t="s">
        <v>49</v>
      </c>
    </row>
    <row r="26" spans="2:14" x14ac:dyDescent="0.35">
      <c r="C26" t="s">
        <v>9</v>
      </c>
      <c r="D26" s="3">
        <v>45149</v>
      </c>
      <c r="F26" t="s">
        <v>16</v>
      </c>
      <c r="G26" s="6">
        <f>G24+G25</f>
        <v>2593.0482846251589</v>
      </c>
      <c r="H26" s="8">
        <f>H25</f>
        <v>39.35</v>
      </c>
      <c r="K26" s="10">
        <f t="shared" si="0"/>
        <v>102036.45000000001</v>
      </c>
      <c r="M26" s="12" t="s">
        <v>50</v>
      </c>
    </row>
    <row r="27" spans="2:14" x14ac:dyDescent="0.35">
      <c r="D27" s="3">
        <v>45250</v>
      </c>
      <c r="F27" t="s">
        <v>16</v>
      </c>
      <c r="G27" s="6">
        <v>2497</v>
      </c>
      <c r="H27" s="8">
        <v>44.6</v>
      </c>
      <c r="K27" s="10">
        <f t="shared" si="0"/>
        <v>111366.2</v>
      </c>
    </row>
    <row r="28" spans="2:14" x14ac:dyDescent="0.35">
      <c r="D28" s="3">
        <v>45274</v>
      </c>
      <c r="F28" t="s">
        <v>16</v>
      </c>
      <c r="G28" s="6">
        <v>2569</v>
      </c>
      <c r="H28" s="8">
        <v>48.66</v>
      </c>
      <c r="K28" s="10">
        <f t="shared" si="0"/>
        <v>125007.54</v>
      </c>
    </row>
    <row r="29" spans="2:14" x14ac:dyDescent="0.35">
      <c r="D29" s="13">
        <v>45279</v>
      </c>
      <c r="E29" s="13"/>
      <c r="F29" s="1" t="s">
        <v>16</v>
      </c>
      <c r="G29" s="11">
        <v>2592</v>
      </c>
      <c r="H29" s="17">
        <v>50.02</v>
      </c>
      <c r="I29" s="17"/>
      <c r="J29" s="17"/>
      <c r="K29" s="12">
        <f t="shared" si="0"/>
        <v>129651.84000000001</v>
      </c>
    </row>
    <row r="30" spans="2:14" x14ac:dyDescent="0.35">
      <c r="D30" s="3">
        <v>45379</v>
      </c>
      <c r="F30" t="s">
        <v>16</v>
      </c>
      <c r="G30" s="6">
        <v>2731</v>
      </c>
      <c r="H30" s="8">
        <v>61.68</v>
      </c>
      <c r="K30" s="10">
        <f t="shared" si="0"/>
        <v>168448.08</v>
      </c>
    </row>
    <row r="31" spans="2:14" x14ac:dyDescent="0.35">
      <c r="K31" s="10">
        <f t="shared" si="0"/>
        <v>0</v>
      </c>
    </row>
    <row r="32" spans="2:14" x14ac:dyDescent="0.35">
      <c r="K32" s="10">
        <f t="shared" si="0"/>
        <v>0</v>
      </c>
    </row>
    <row r="33" spans="11:11" x14ac:dyDescent="0.35">
      <c r="K33" s="10">
        <f t="shared" si="0"/>
        <v>0</v>
      </c>
    </row>
    <row r="34" spans="11:11" x14ac:dyDescent="0.35">
      <c r="K34" s="10">
        <f t="shared" si="0"/>
        <v>0</v>
      </c>
    </row>
    <row r="35" spans="11:11" x14ac:dyDescent="0.35">
      <c r="K35" s="10">
        <f t="shared" si="0"/>
        <v>0</v>
      </c>
    </row>
    <row r="36" spans="11:11" x14ac:dyDescent="0.35">
      <c r="K36" s="10">
        <f t="shared" si="0"/>
        <v>0</v>
      </c>
    </row>
    <row r="37" spans="11:11" x14ac:dyDescent="0.35">
      <c r="K37" s="10">
        <f t="shared" si="0"/>
        <v>0</v>
      </c>
    </row>
    <row r="38" spans="11:11" x14ac:dyDescent="0.35">
      <c r="K38" s="10">
        <f t="shared" si="0"/>
        <v>0</v>
      </c>
    </row>
    <row r="39" spans="11:11" x14ac:dyDescent="0.35">
      <c r="K39" s="10">
        <f t="shared" si="0"/>
        <v>0</v>
      </c>
    </row>
    <row r="40" spans="11:11" x14ac:dyDescent="0.35">
      <c r="K40" s="10">
        <f t="shared" si="0"/>
        <v>0</v>
      </c>
    </row>
    <row r="41" spans="11:11" x14ac:dyDescent="0.35">
      <c r="K41" s="10">
        <f t="shared" si="0"/>
        <v>0</v>
      </c>
    </row>
    <row r="42" spans="11:11" x14ac:dyDescent="0.35">
      <c r="K42" s="10">
        <f t="shared" si="0"/>
        <v>0</v>
      </c>
    </row>
    <row r="43" spans="11:11" x14ac:dyDescent="0.35">
      <c r="K43" s="10">
        <f t="shared" si="0"/>
        <v>0</v>
      </c>
    </row>
    <row r="44" spans="11:11" x14ac:dyDescent="0.35">
      <c r="K44" s="10">
        <f t="shared" si="0"/>
        <v>0</v>
      </c>
    </row>
    <row r="45" spans="11:11" x14ac:dyDescent="0.35">
      <c r="K45" s="10">
        <f t="shared" si="0"/>
        <v>0</v>
      </c>
    </row>
    <row r="46" spans="11:11" x14ac:dyDescent="0.35">
      <c r="K46" s="10">
        <f t="shared" si="0"/>
        <v>0</v>
      </c>
    </row>
    <row r="47" spans="11:11" x14ac:dyDescent="0.35">
      <c r="K47" s="10">
        <f t="shared" si="0"/>
        <v>0</v>
      </c>
    </row>
    <row r="49" spans="2:13" x14ac:dyDescent="0.35">
      <c r="B49" s="2" t="s">
        <v>6</v>
      </c>
      <c r="C49" s="2" t="s">
        <v>7</v>
      </c>
      <c r="D49" s="4" t="s">
        <v>0</v>
      </c>
      <c r="E49" s="4"/>
      <c r="F49" s="2" t="s">
        <v>2</v>
      </c>
      <c r="G49" s="5" t="s">
        <v>1</v>
      </c>
      <c r="H49" s="7" t="s">
        <v>17</v>
      </c>
      <c r="I49" s="7" t="s">
        <v>5</v>
      </c>
      <c r="J49" s="7" t="s">
        <v>19</v>
      </c>
      <c r="K49" s="9" t="s">
        <v>3</v>
      </c>
      <c r="L49" s="9" t="s">
        <v>4</v>
      </c>
      <c r="M49" s="9"/>
    </row>
    <row r="50" spans="2:13" x14ac:dyDescent="0.35">
      <c r="B50" t="s">
        <v>8</v>
      </c>
      <c r="C50" t="s">
        <v>10</v>
      </c>
      <c r="D50" s="3">
        <v>45090</v>
      </c>
      <c r="F50" s="1" t="s">
        <v>16</v>
      </c>
      <c r="G50" s="11">
        <v>7124</v>
      </c>
      <c r="H50" s="8">
        <v>39.229999999999997</v>
      </c>
      <c r="K50" s="12">
        <f t="shared" si="0"/>
        <v>257880.51999999996</v>
      </c>
      <c r="L50" s="10">
        <f xml:space="preserve"> - 500 * 36.15 - 90 * 39.1</f>
        <v>-21594</v>
      </c>
    </row>
    <row r="51" spans="2:13" x14ac:dyDescent="0.35">
      <c r="D51" s="3">
        <v>45091</v>
      </c>
      <c r="F51" s="1"/>
      <c r="G51" s="11">
        <f>$G$90+G8</f>
        <v>15683</v>
      </c>
      <c r="H51" s="8">
        <v>40.19</v>
      </c>
      <c r="K51" s="12">
        <f t="shared" si="0"/>
        <v>630299.77</v>
      </c>
    </row>
    <row r="52" spans="2:13" x14ac:dyDescent="0.35">
      <c r="D52" s="3">
        <v>45092</v>
      </c>
      <c r="F52" s="1"/>
      <c r="G52" s="11">
        <f>$G$90+G24</f>
        <v>15934</v>
      </c>
      <c r="H52" s="8">
        <v>41.06</v>
      </c>
      <c r="K52" s="12">
        <f t="shared" si="0"/>
        <v>516700.04000000004</v>
      </c>
      <c r="L52" s="10">
        <f>L84+N22</f>
        <v>-137550</v>
      </c>
    </row>
    <row r="53" spans="2:13" x14ac:dyDescent="0.35">
      <c r="D53" s="3">
        <v>45149</v>
      </c>
      <c r="F53" s="1"/>
      <c r="G53" s="11">
        <f>G90+G26</f>
        <v>16500.048284625158</v>
      </c>
      <c r="H53" s="8">
        <f>H26</f>
        <v>39.35</v>
      </c>
      <c r="K53" s="12">
        <f t="shared" si="0"/>
        <v>649276.9</v>
      </c>
    </row>
    <row r="54" spans="2:13" x14ac:dyDescent="0.35">
      <c r="D54" s="3">
        <v>45170</v>
      </c>
      <c r="F54" s="1"/>
      <c r="G54" s="11">
        <f>G90+G26</f>
        <v>16500.048284625158</v>
      </c>
      <c r="H54" s="8">
        <v>42.56</v>
      </c>
      <c r="K54" s="12">
        <f t="shared" si="0"/>
        <v>702242.0549936468</v>
      </c>
    </row>
    <row r="55" spans="2:13" x14ac:dyDescent="0.35">
      <c r="D55" s="3">
        <v>45250</v>
      </c>
      <c r="F55" s="1"/>
      <c r="G55" s="11">
        <f>G90+G27</f>
        <v>16404</v>
      </c>
      <c r="H55" s="8">
        <v>44.6</v>
      </c>
      <c r="K55" s="12">
        <f t="shared" si="0"/>
        <v>731618.4</v>
      </c>
    </row>
    <row r="56" spans="2:13" x14ac:dyDescent="0.35">
      <c r="D56" s="3">
        <v>45274</v>
      </c>
      <c r="F56" s="1"/>
      <c r="G56" s="11">
        <f>$G$90+G28</f>
        <v>16476</v>
      </c>
      <c r="H56" s="8">
        <v>48.66</v>
      </c>
      <c r="K56" s="12">
        <f t="shared" si="0"/>
        <v>801722.15999999992</v>
      </c>
    </row>
    <row r="57" spans="2:13" x14ac:dyDescent="0.35">
      <c r="C57" s="1" t="s">
        <v>54</v>
      </c>
      <c r="D57" s="3">
        <v>45352</v>
      </c>
      <c r="F57" s="1"/>
      <c r="G57" s="11">
        <f>$G$90+G30</f>
        <v>16638</v>
      </c>
      <c r="H57" s="8">
        <v>63</v>
      </c>
      <c r="K57" s="12">
        <f t="shared" si="0"/>
        <v>1048194</v>
      </c>
    </row>
    <row r="58" spans="2:13" x14ac:dyDescent="0.35">
      <c r="F58" s="1"/>
      <c r="G58" s="11"/>
      <c r="K58" s="12">
        <f t="shared" si="0"/>
        <v>0</v>
      </c>
    </row>
    <row r="59" spans="2:13" x14ac:dyDescent="0.35">
      <c r="F59" s="1"/>
      <c r="G59" s="11"/>
      <c r="K59" s="12">
        <f t="shared" si="0"/>
        <v>0</v>
      </c>
    </row>
    <row r="60" spans="2:13" x14ac:dyDescent="0.35">
      <c r="F60" s="1"/>
      <c r="G60" s="11"/>
      <c r="K60" s="12">
        <f t="shared" si="0"/>
        <v>0</v>
      </c>
    </row>
    <row r="61" spans="2:13" x14ac:dyDescent="0.35">
      <c r="F61" s="1"/>
      <c r="G61" s="11"/>
      <c r="K61" s="12">
        <f t="shared" si="0"/>
        <v>0</v>
      </c>
    </row>
    <row r="62" spans="2:13" x14ac:dyDescent="0.35">
      <c r="F62" s="1"/>
      <c r="G62" s="11"/>
      <c r="K62" s="12">
        <f t="shared" si="0"/>
        <v>0</v>
      </c>
    </row>
    <row r="63" spans="2:13" x14ac:dyDescent="0.35">
      <c r="F63" s="1"/>
      <c r="G63" s="11"/>
      <c r="K63" s="12">
        <f t="shared" si="0"/>
        <v>0</v>
      </c>
    </row>
    <row r="64" spans="2:13" x14ac:dyDescent="0.35">
      <c r="B64" t="s">
        <v>53</v>
      </c>
      <c r="C64" s="1" t="s">
        <v>56</v>
      </c>
      <c r="D64" s="3">
        <v>45352</v>
      </c>
      <c r="F64" s="1"/>
      <c r="G64" s="11">
        <f>G30+G95</f>
        <v>9761</v>
      </c>
      <c r="H64" s="8">
        <v>63</v>
      </c>
      <c r="K64" s="12">
        <f t="shared" si="0"/>
        <v>614943</v>
      </c>
    </row>
    <row r="65" spans="2:13" x14ac:dyDescent="0.35">
      <c r="F65" s="1"/>
      <c r="G65" s="11"/>
      <c r="K65" s="12">
        <f t="shared" si="0"/>
        <v>0</v>
      </c>
    </row>
    <row r="66" spans="2:13" x14ac:dyDescent="0.35">
      <c r="F66" s="1"/>
      <c r="G66" s="11"/>
      <c r="K66" s="12">
        <f t="shared" si="0"/>
        <v>0</v>
      </c>
    </row>
    <row r="67" spans="2:13" x14ac:dyDescent="0.35">
      <c r="F67" s="1"/>
      <c r="G67" s="11"/>
      <c r="K67" s="12">
        <f t="shared" si="0"/>
        <v>0</v>
      </c>
    </row>
    <row r="68" spans="2:13" x14ac:dyDescent="0.35">
      <c r="F68" s="1"/>
      <c r="G68" s="11"/>
      <c r="K68" s="12">
        <f t="shared" si="0"/>
        <v>0</v>
      </c>
    </row>
    <row r="69" spans="2:13" x14ac:dyDescent="0.35">
      <c r="F69" s="1"/>
      <c r="G69" s="11"/>
      <c r="K69" s="12">
        <f t="shared" si="0"/>
        <v>0</v>
      </c>
    </row>
    <row r="70" spans="2:13" x14ac:dyDescent="0.35">
      <c r="F70" s="1"/>
      <c r="G70" s="11"/>
      <c r="K70" s="12">
        <f t="shared" si="0"/>
        <v>0</v>
      </c>
    </row>
    <row r="71" spans="2:13" x14ac:dyDescent="0.35">
      <c r="F71" s="1"/>
      <c r="G71" s="11"/>
      <c r="K71" s="12">
        <f t="shared" si="0"/>
        <v>0</v>
      </c>
    </row>
    <row r="72" spans="2:13" x14ac:dyDescent="0.35">
      <c r="F72" s="1"/>
      <c r="G72" s="11"/>
      <c r="K72" s="12">
        <f t="shared" si="0"/>
        <v>0</v>
      </c>
    </row>
    <row r="73" spans="2:13" x14ac:dyDescent="0.35">
      <c r="F73" s="1"/>
      <c r="G73" s="11"/>
      <c r="K73" s="12">
        <f t="shared" si="0"/>
        <v>0</v>
      </c>
    </row>
    <row r="74" spans="2:13" x14ac:dyDescent="0.35">
      <c r="F74" s="1"/>
      <c r="G74" s="11"/>
      <c r="K74" s="12"/>
    </row>
    <row r="75" spans="2:13" x14ac:dyDescent="0.35">
      <c r="B75" s="47" t="s">
        <v>34</v>
      </c>
      <c r="C75" s="47"/>
      <c r="D75" s="47"/>
      <c r="E75" s="47"/>
      <c r="F75" s="47"/>
      <c r="G75" s="47"/>
      <c r="H75" s="47"/>
      <c r="I75" s="47"/>
      <c r="J75" s="47"/>
      <c r="K75" s="47"/>
    </row>
    <row r="76" spans="2:13" x14ac:dyDescent="0.35">
      <c r="B76" s="2" t="s">
        <v>6</v>
      </c>
      <c r="C76" s="2" t="s">
        <v>7</v>
      </c>
      <c r="D76" s="4" t="s">
        <v>0</v>
      </c>
      <c r="E76" s="4"/>
      <c r="F76" s="2" t="s">
        <v>2</v>
      </c>
      <c r="G76" s="5" t="s">
        <v>1</v>
      </c>
      <c r="H76" s="7" t="s">
        <v>17</v>
      </c>
      <c r="I76" s="7" t="s">
        <v>5</v>
      </c>
      <c r="J76" s="7" t="s">
        <v>19</v>
      </c>
      <c r="K76" s="9" t="s">
        <v>3</v>
      </c>
    </row>
    <row r="77" spans="2:13" x14ac:dyDescent="0.35">
      <c r="B77" t="s">
        <v>8</v>
      </c>
      <c r="C77" t="s">
        <v>11</v>
      </c>
      <c r="D77" s="3">
        <v>45090</v>
      </c>
      <c r="F77" t="s">
        <v>16</v>
      </c>
      <c r="G77" s="6">
        <v>205</v>
      </c>
      <c r="H77" s="8">
        <v>39.229999999999997</v>
      </c>
      <c r="K77" s="10">
        <f t="shared" si="0"/>
        <v>8042.15</v>
      </c>
    </row>
    <row r="78" spans="2:13" x14ac:dyDescent="0.35">
      <c r="B78" t="s">
        <v>8</v>
      </c>
      <c r="C78" t="s">
        <v>11</v>
      </c>
      <c r="D78" s="3">
        <v>45177</v>
      </c>
      <c r="F78" t="s">
        <v>16</v>
      </c>
      <c r="G78" s="6">
        <v>-205</v>
      </c>
      <c r="H78" s="8">
        <v>39.229999999999997</v>
      </c>
      <c r="K78" s="10">
        <f t="shared" ref="K78" si="1">G78*H78+I78+J78+L78</f>
        <v>-8042.15</v>
      </c>
      <c r="M78" s="10" t="s">
        <v>52</v>
      </c>
    </row>
    <row r="79" spans="2:13" x14ac:dyDescent="0.35">
      <c r="B79" s="1" t="s">
        <v>8</v>
      </c>
      <c r="C79" s="1" t="s">
        <v>29</v>
      </c>
      <c r="D79" s="3">
        <v>45354</v>
      </c>
      <c r="F79" t="s">
        <v>16</v>
      </c>
      <c r="G79" s="6">
        <v>3956</v>
      </c>
      <c r="H79" s="8">
        <v>63</v>
      </c>
      <c r="K79" s="10">
        <f t="shared" si="0"/>
        <v>249228</v>
      </c>
    </row>
    <row r="80" spans="2:13" x14ac:dyDescent="0.35">
      <c r="B80" t="s">
        <v>8</v>
      </c>
      <c r="C80" s="1" t="s">
        <v>12</v>
      </c>
      <c r="D80" s="3">
        <v>45354</v>
      </c>
      <c r="F80" t="s">
        <v>16</v>
      </c>
      <c r="G80" s="6">
        <v>114</v>
      </c>
      <c r="H80" s="8">
        <v>63</v>
      </c>
      <c r="K80" s="12">
        <f t="shared" si="0"/>
        <v>7182</v>
      </c>
    </row>
    <row r="81" spans="2:22" x14ac:dyDescent="0.35">
      <c r="B81" t="s">
        <v>8</v>
      </c>
      <c r="C81" s="1" t="s">
        <v>13</v>
      </c>
      <c r="D81" s="3">
        <v>45354</v>
      </c>
      <c r="F81" t="s">
        <v>16</v>
      </c>
      <c r="G81" s="6">
        <v>660</v>
      </c>
      <c r="H81" s="8">
        <v>63</v>
      </c>
      <c r="K81" s="12">
        <f t="shared" si="0"/>
        <v>41580</v>
      </c>
    </row>
    <row r="82" spans="2:22" x14ac:dyDescent="0.35">
      <c r="B82" t="s">
        <v>8</v>
      </c>
      <c r="C82" t="s">
        <v>35</v>
      </c>
      <c r="D82" s="3">
        <v>45108</v>
      </c>
      <c r="F82" t="s">
        <v>16</v>
      </c>
      <c r="G82" s="6">
        <v>4200</v>
      </c>
      <c r="H82" s="8">
        <v>41</v>
      </c>
      <c r="K82" s="10">
        <f t="shared" si="0"/>
        <v>172200</v>
      </c>
    </row>
    <row r="83" spans="2:22" x14ac:dyDescent="0.35">
      <c r="B83" t="s">
        <v>8</v>
      </c>
      <c r="C83" t="s">
        <v>36</v>
      </c>
      <c r="D83" s="3">
        <v>45108</v>
      </c>
      <c r="F83" t="s">
        <v>16</v>
      </c>
      <c r="G83" s="6">
        <v>587</v>
      </c>
      <c r="H83" s="8">
        <v>41</v>
      </c>
      <c r="K83" s="10">
        <f t="shared" si="0"/>
        <v>24067</v>
      </c>
    </row>
    <row r="84" spans="2:22" x14ac:dyDescent="0.35">
      <c r="B84" t="s">
        <v>28</v>
      </c>
      <c r="C84" t="s">
        <v>35</v>
      </c>
      <c r="D84" s="3">
        <v>45108</v>
      </c>
      <c r="F84" t="s">
        <v>16</v>
      </c>
      <c r="G84" s="6">
        <v>1316</v>
      </c>
      <c r="H84" s="8">
        <v>38</v>
      </c>
      <c r="K84" s="10">
        <f t="shared" si="0"/>
        <v>8</v>
      </c>
      <c r="L84" s="16">
        <v>-50000</v>
      </c>
      <c r="M84" s="12" t="s">
        <v>46</v>
      </c>
    </row>
    <row r="85" spans="2:22" x14ac:dyDescent="0.35">
      <c r="B85" s="1" t="s">
        <v>28</v>
      </c>
      <c r="C85" s="1" t="s">
        <v>29</v>
      </c>
      <c r="D85" s="3">
        <v>45373</v>
      </c>
      <c r="F85" t="s">
        <v>16</v>
      </c>
      <c r="G85" s="6">
        <v>2072</v>
      </c>
      <c r="H85" s="8">
        <v>62</v>
      </c>
      <c r="K85" s="10">
        <f t="shared" si="0"/>
        <v>128464</v>
      </c>
      <c r="M85" s="12" t="s">
        <v>31</v>
      </c>
      <c r="N85" s="12">
        <v>23727</v>
      </c>
      <c r="O85" s="12" t="s">
        <v>48</v>
      </c>
    </row>
    <row r="86" spans="2:22" x14ac:dyDescent="0.35">
      <c r="B86" s="1" t="s">
        <v>28</v>
      </c>
      <c r="C86" s="1" t="s">
        <v>30</v>
      </c>
      <c r="D86" s="3">
        <v>45331</v>
      </c>
      <c r="F86" t="s">
        <v>16</v>
      </c>
      <c r="G86" s="6">
        <v>758</v>
      </c>
      <c r="H86" s="8">
        <v>60.3</v>
      </c>
      <c r="K86" s="10">
        <f>G86*H86+I86+J86+L86</f>
        <v>45707.4</v>
      </c>
      <c r="M86" s="12" t="s">
        <v>32</v>
      </c>
    </row>
    <row r="87" spans="2:22" x14ac:dyDescent="0.35">
      <c r="B87" t="s">
        <v>28</v>
      </c>
      <c r="C87" t="s">
        <v>47</v>
      </c>
      <c r="D87" s="3">
        <v>45250</v>
      </c>
      <c r="F87" t="s">
        <v>16</v>
      </c>
      <c r="G87" s="6">
        <v>569</v>
      </c>
      <c r="H87" s="8">
        <v>44.6</v>
      </c>
      <c r="K87" s="10">
        <f t="shared" ref="K87" si="2">G87*H87+I87+J87+L87</f>
        <v>25377.4</v>
      </c>
      <c r="M87" s="12" t="s">
        <v>48</v>
      </c>
    </row>
    <row r="88" spans="2:22" x14ac:dyDescent="0.35">
      <c r="B88" t="s">
        <v>28</v>
      </c>
      <c r="C88" t="s">
        <v>47</v>
      </c>
      <c r="D88" s="3">
        <v>45250</v>
      </c>
      <c r="F88" t="s">
        <v>16</v>
      </c>
      <c r="G88" s="6">
        <v>-569</v>
      </c>
      <c r="H88" s="8">
        <v>44.6</v>
      </c>
      <c r="K88" s="10">
        <f>G88*H88+I88+J88+L88</f>
        <v>-25377.4</v>
      </c>
      <c r="M88" s="12" t="s">
        <v>48</v>
      </c>
      <c r="O88" s="1" t="s">
        <v>51</v>
      </c>
    </row>
    <row r="89" spans="2:22" x14ac:dyDescent="0.35">
      <c r="B89" s="1" t="s">
        <v>8</v>
      </c>
      <c r="C89" s="1" t="s">
        <v>55</v>
      </c>
      <c r="D89" s="3">
        <v>45373</v>
      </c>
      <c r="F89" t="s">
        <v>16</v>
      </c>
      <c r="G89" s="6">
        <v>244</v>
      </c>
      <c r="H89" s="8">
        <v>62</v>
      </c>
      <c r="K89" s="10">
        <f>G89*H89+I89+J89+L89</f>
        <v>15128</v>
      </c>
    </row>
    <row r="90" spans="2:22" x14ac:dyDescent="0.35">
      <c r="F90" s="1" t="s">
        <v>20</v>
      </c>
      <c r="G90" s="11">
        <f>SUM(G77:G89)</f>
        <v>13907</v>
      </c>
    </row>
    <row r="91" spans="2:22" x14ac:dyDescent="0.35">
      <c r="K91" s="1" t="s">
        <v>28</v>
      </c>
      <c r="L91" s="1" t="s">
        <v>47</v>
      </c>
      <c r="M91" s="13">
        <v>45139</v>
      </c>
      <c r="N91" s="3"/>
      <c r="O91" t="s">
        <v>16</v>
      </c>
      <c r="P91" s="6">
        <v>569</v>
      </c>
      <c r="Q91" s="8">
        <v>41.7</v>
      </c>
      <c r="T91" s="10">
        <f t="shared" ref="T91" si="3">P91*Q91+R91+S91+U91</f>
        <v>23727.300000000003</v>
      </c>
      <c r="U91" s="10"/>
      <c r="V91" s="12" t="s">
        <v>48</v>
      </c>
    </row>
    <row r="95" spans="2:22" s="1" customFormat="1" x14ac:dyDescent="0.35">
      <c r="B95" s="1" t="s">
        <v>53</v>
      </c>
      <c r="C95" s="1" t="s">
        <v>57</v>
      </c>
      <c r="D95" s="13">
        <v>45352</v>
      </c>
      <c r="E95" s="13"/>
      <c r="F95" s="1" t="s">
        <v>20</v>
      </c>
      <c r="G95" s="11">
        <f>SUM(G79,G85,G86,G89)</f>
        <v>7030</v>
      </c>
      <c r="H95" s="17">
        <v>63</v>
      </c>
      <c r="I95" s="17"/>
      <c r="J95" s="17"/>
      <c r="K95" s="12">
        <f>G95*H95+I95+J95+L95</f>
        <v>442890</v>
      </c>
      <c r="L95" s="12"/>
      <c r="M95" s="12"/>
      <c r="N95" s="12"/>
      <c r="P95" s="13"/>
      <c r="Q95" s="17"/>
      <c r="R95" s="17"/>
      <c r="S95" s="17"/>
      <c r="T95" s="18"/>
      <c r="U95" s="18"/>
    </row>
    <row r="100" spans="10:12" x14ac:dyDescent="0.35">
      <c r="K100" s="12">
        <v>2388456</v>
      </c>
      <c r="L100" s="12" t="s">
        <v>58</v>
      </c>
    </row>
    <row r="101" spans="10:12" x14ac:dyDescent="0.35">
      <c r="J101" s="8" t="s">
        <v>20</v>
      </c>
      <c r="K101" s="10">
        <f>K100+K57</f>
        <v>3436650</v>
      </c>
    </row>
  </sheetData>
  <mergeCells count="1">
    <mergeCell ref="B75:K75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E810-5CA8-43E7-B3ED-6A3209873394}">
  <dimension ref="A3:D35"/>
  <sheetViews>
    <sheetView tabSelected="1" topLeftCell="A6" workbookViewId="0">
      <selection activeCell="C20" sqref="C20"/>
    </sheetView>
  </sheetViews>
  <sheetFormatPr defaultRowHeight="14.5" x14ac:dyDescent="0.35"/>
  <cols>
    <col min="1" max="1" width="18.90625" style="44" customWidth="1"/>
    <col min="2" max="2" width="18" style="10" customWidth="1"/>
    <col min="3" max="3" width="48.90625" customWidth="1"/>
    <col min="4" max="4" width="17.36328125" style="15" customWidth="1"/>
  </cols>
  <sheetData>
    <row r="3" spans="1:4" x14ac:dyDescent="0.35">
      <c r="A3" s="50" t="s">
        <v>117</v>
      </c>
      <c r="B3" s="50"/>
      <c r="C3" s="50"/>
      <c r="D3" s="50"/>
    </row>
    <row r="4" spans="1:4" s="42" customFormat="1" ht="18.5" x14ac:dyDescent="0.45">
      <c r="A4" s="43" t="s">
        <v>0</v>
      </c>
      <c r="B4" s="45" t="s">
        <v>3</v>
      </c>
      <c r="C4" s="42" t="s">
        <v>104</v>
      </c>
      <c r="D4" s="46" t="s">
        <v>105</v>
      </c>
    </row>
    <row r="5" spans="1:4" x14ac:dyDescent="0.35">
      <c r="A5" s="44">
        <v>45877</v>
      </c>
      <c r="B5" s="10">
        <v>46116</v>
      </c>
      <c r="C5" t="s">
        <v>120</v>
      </c>
    </row>
    <row r="7" spans="1:4" x14ac:dyDescent="0.35">
      <c r="A7" s="44">
        <v>45875</v>
      </c>
      <c r="B7" s="10">
        <v>-12490</v>
      </c>
      <c r="C7" t="s">
        <v>119</v>
      </c>
    </row>
    <row r="8" spans="1:4" x14ac:dyDescent="0.35">
      <c r="A8" s="44">
        <v>45877</v>
      </c>
      <c r="B8" s="10">
        <v>-6499</v>
      </c>
      <c r="C8" t="s">
        <v>123</v>
      </c>
      <c r="D8" s="15">
        <v>0.13</v>
      </c>
    </row>
    <row r="9" spans="1:4" x14ac:dyDescent="0.35">
      <c r="A9" s="44">
        <v>45877</v>
      </c>
      <c r="B9" s="10">
        <v>-27000</v>
      </c>
      <c r="C9" t="s">
        <v>118</v>
      </c>
    </row>
    <row r="10" spans="1:4" x14ac:dyDescent="0.35">
      <c r="A10" s="44">
        <v>45880</v>
      </c>
      <c r="B10" s="10">
        <v>-13870</v>
      </c>
      <c r="C10" t="s">
        <v>124</v>
      </c>
    </row>
    <row r="11" spans="1:4" x14ac:dyDescent="0.35">
      <c r="A11" s="44">
        <v>45880</v>
      </c>
      <c r="B11" s="10">
        <v>13870</v>
      </c>
      <c r="C11" t="s">
        <v>121</v>
      </c>
    </row>
    <row r="12" spans="1:4" x14ac:dyDescent="0.35">
      <c r="A12" s="44">
        <v>45880</v>
      </c>
      <c r="B12" s="10">
        <v>6499</v>
      </c>
      <c r="C12" t="s">
        <v>122</v>
      </c>
    </row>
    <row r="13" spans="1:4" x14ac:dyDescent="0.35">
      <c r="A13" s="44">
        <v>45885</v>
      </c>
      <c r="B13" s="10">
        <v>-64000</v>
      </c>
      <c r="C13" t="s">
        <v>125</v>
      </c>
    </row>
    <row r="14" spans="1:4" x14ac:dyDescent="0.35">
      <c r="A14" s="44">
        <v>45883</v>
      </c>
      <c r="C14" t="s">
        <v>126</v>
      </c>
    </row>
    <row r="22" spans="1:3" x14ac:dyDescent="0.35">
      <c r="A22" s="44" t="s">
        <v>106</v>
      </c>
      <c r="B22" s="10">
        <f>B5-SUM(B7:B9)</f>
        <v>92105</v>
      </c>
    </row>
    <row r="28" spans="1:3" x14ac:dyDescent="0.35">
      <c r="A28" s="50" t="s">
        <v>116</v>
      </c>
      <c r="B28" s="50"/>
    </row>
    <row r="29" spans="1:3" x14ac:dyDescent="0.35">
      <c r="A29" s="44" t="s">
        <v>107</v>
      </c>
      <c r="B29" s="10">
        <v>9550</v>
      </c>
      <c r="C29" t="s">
        <v>108</v>
      </c>
    </row>
    <row r="30" spans="1:3" x14ac:dyDescent="0.35">
      <c r="A30" s="44" t="s">
        <v>113</v>
      </c>
      <c r="C30" t="s">
        <v>109</v>
      </c>
    </row>
    <row r="31" spans="1:3" x14ac:dyDescent="0.35">
      <c r="A31" s="44" t="s">
        <v>110</v>
      </c>
      <c r="B31" s="10">
        <v>23500</v>
      </c>
    </row>
    <row r="32" spans="1:3" x14ac:dyDescent="0.35">
      <c r="A32" s="44" t="s">
        <v>111</v>
      </c>
      <c r="B32" s="10">
        <v>11250</v>
      </c>
    </row>
    <row r="33" spans="1:2" x14ac:dyDescent="0.35">
      <c r="A33" s="44" t="s">
        <v>114</v>
      </c>
      <c r="B33" s="10">
        <v>7000</v>
      </c>
    </row>
    <row r="34" spans="1:2" x14ac:dyDescent="0.35">
      <c r="A34" s="44" t="s">
        <v>112</v>
      </c>
      <c r="B34" s="10">
        <v>1000</v>
      </c>
    </row>
    <row r="35" spans="1:2" x14ac:dyDescent="0.35">
      <c r="A35" s="44" t="s">
        <v>115</v>
      </c>
      <c r="B35" s="10">
        <v>7000</v>
      </c>
    </row>
  </sheetData>
  <mergeCells count="2">
    <mergeCell ref="A28:B28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2024-12-24</vt:lpstr>
      <vt:lpstr>2024-10-08-New</vt:lpstr>
      <vt:lpstr>2024-04-04-New</vt:lpstr>
      <vt:lpstr>2024-10-08 Big Drop</vt:lpstr>
      <vt:lpstr>2023-2024 Pre-Election</vt:lpstr>
      <vt:lpstr>2025-BoA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Xianliu Ma</dc:creator>
  <cp:lastModifiedBy>Xianliu Ma</cp:lastModifiedBy>
  <dcterms:created xsi:type="dcterms:W3CDTF">2015-06-05T18:17:20Z</dcterms:created>
  <dcterms:modified xsi:type="dcterms:W3CDTF">2025-08-15T05:06:17Z</dcterms:modified>
</cp:coreProperties>
</file>